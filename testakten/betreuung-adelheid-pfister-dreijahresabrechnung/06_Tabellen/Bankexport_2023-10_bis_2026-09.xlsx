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80c6c2289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ntensalden" sheetId="1" r:id="R562d91854de8489d"/>
    <x:sheet xmlns:r="http://schemas.openxmlformats.org/officeDocument/2006/relationships" name="Bankbuchungen" sheetId="2" r:id="R6515b31d5e8e43f1"/>
    <x:sheet xmlns:r="http://schemas.openxmlformats.org/officeDocument/2006/relationships" name="Lesehinweise" sheetId="3" r:id="R29592eaa6051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yyyy"/>
    <x:numFmt numFmtId="201" formatCode="#,##0.00;[Red](#,##0.00);0.00"/>
    <x:numFmt numFmtId="202" formatCode="yyyy-mm-dd"/>
  </x:numFmts>
  <x:fonts count="5">
    <x:font>
      <x:sz val="11"/>
      <x:name val="Carlito"/>
    </x:font>
    <x:font>
      <x:sz val="11"/>
      <x:color rgb="FF20272E"/>
      <x:name val="Times New Roman"/>
    </x:font>
    <x:font>
      <x:b/>
      <x:sz val="15"/>
      <x:color rgb="FF263C4A"/>
      <x:name val="Times New Roman"/>
    </x:font>
    <x:font>
      <x:i/>
      <x:sz val="11"/>
      <x:color rgb="FF59656D"/>
      <x:name val="Times New Roman"/>
    </x:font>
    <x:font>
      <x:b/>
      <x:sz val="11"/>
      <x:color rgb="FFFFFFFF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63C4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D9FA8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B2020"/>
      </x:font>
      <x:fill>
        <x:patternFill patternType="solid">
          <x:bgColor rgb="FFFCE5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091bacefc4ce1" /><Relationship Type="http://schemas.openxmlformats.org/officeDocument/2006/relationships/theme" Target="/xl/theme/theme1.xml" Id="Rf5f5f99b4aa544a9" /><Relationship Type="http://schemas.openxmlformats.org/officeDocument/2006/relationships/sharedStrings" Target="/xl/sharedStrings.xml" Id="R103e0e3a0db0440a" /><Relationship Type="http://schemas.openxmlformats.org/officeDocument/2006/relationships/worksheet" Target="/xl/worksheets/sheet1.xml" Id="R562d91854de8489d" /><Relationship Type="http://schemas.openxmlformats.org/officeDocument/2006/relationships/worksheet" Target="/xl/worksheets/sheet2.xml" Id="R6515b31d5e8e43f1" /><Relationship Type="http://schemas.openxmlformats.org/officeDocument/2006/relationships/worksheet" Target="/xl/worksheets/sheet3.xml" Id="R29592eaa60514cfe" /></Relationships>
</file>

<file path=xl/tables/table1.xml><?xml version="1.0" encoding="utf-8"?>
<x:table xmlns:x="http://schemas.openxmlformats.org/spreadsheetml/2006/main" id="1" name="Monatssalden" displayName="Monatssalden" ref="A6:I78" headerRowCount="1" totalsRowCount="0" totalsRowShown="0">
  <x:tableColumns count="9">
    <x:tableColumn id="1" name="Monat"/>
    <x:tableColumn id="2" name="Konto-ID"/>
    <x:tableColumn id="3" name="Anfang EUR"/>
    <x:tableColumn id="4" name="Gutschriften EUR"/>
    <x:tableColumn id="5" name="Belastungen EUR"/>
    <x:tableColumn id="6" name="Ende gerechnet EUR"/>
    <x:tableColumn id="7" name="Ende laut Auszug EUR"/>
    <x:tableColumn id="8" name="Differenz EUR"/>
    <x:tableColumn id="9" name="Kontoauszu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nkexport" displayName="Bankexport" ref="A6:J590" headerRowCount="1" totalsRowCount="0" totalsRowShown="0">
  <x:tableColumns count="10">
    <x:tableColumn id="1" name="Buchung-ID"/>
    <x:tableColumn id="2" name="Konto-ID"/>
    <x:tableColumn id="3" name="Buchungstag"/>
    <x:tableColumn id="4" name="Gegenpartei"/>
    <x:tableColumn id="5" name="Verwendungszweck"/>
    <x:tableColumn id="6" name="Betrag EUR"/>
    <x:tableColumn id="7" name="Wertstellung"/>
    <x:tableColumn id="8" name="Kontoauszug"/>
    <x:tableColumn id="9" name="Beleg-ID(s)"/>
    <x:tableColumn id="10" name="Bankreferen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f34e51b7e845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402c4ff03f4a20" /></Relationships>
</file>

<file path=xl/worksheets/sheet1.xml><?xml version="1.0" encoding="utf-8"?>
<x:worksheet xmlns:x="http://schemas.openxmlformats.org/spreadsheetml/2006/main">
  <x:sheetPr>
    <x:tabColor rgb="FF263C4A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21" hidden="0" customWidth="1"/>
    <x:col min="5" max="5" width="21" hidden="0" customWidth="1"/>
    <x:col min="6" max="6" width="22" hidden="0" customWidth="1"/>
    <x:col min="7" max="7" width="24" hidden="0" customWidth="1"/>
    <x:col min="8" max="8" width="22" hidden="0" customWidth="1"/>
    <x:col min="9" max="9" width="4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Kontenübersicht Adelheid Pfister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2" customHeight="1">
      <x:c r="A4" s="5" t="str">
        <x:v>01.10.2023 bis 30.09.2026. Beträge in EUR. Monatswerte umfassen sämtliche Bankbewegungen.</x:v>
      </x:c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8" customHeight="1">
      <x:c r="A6" s="9" t="str">
        <x:v>Monat</x:v>
      </x:c>
      <x:c r="B6" s="9" t="str">
        <x:v>Konto-ID</x:v>
      </x:c>
      <x:c r="C6" s="9" t="str">
        <x:v>Anfang EUR</x:v>
      </x:c>
      <x:c r="D6" s="9" t="str">
        <x:v>Gutschriften EUR</x:v>
      </x:c>
      <x:c r="E6" s="9" t="str">
        <x:v>Belastungen EUR</x:v>
      </x:c>
      <x:c r="F6" s="9" t="str">
        <x:v>Ende gerechnet EUR</x:v>
      </x:c>
      <x:c r="G6" s="9" t="str">
        <x:v>Ende laut Auszug EUR</x:v>
      </x:c>
      <x:c r="H6" s="9" t="str">
        <x:v>Differenz EUR</x:v>
      </x:c>
      <x:c r="I6" s="9" t="str">
        <x:v>Kontoauszug</x:v>
      </x:c>
    </x:row>
    <x:row r="7" ht="22" customHeight="1">
      <x:c r="A7" s="10" t="d">
        <x:v>2023-10-01T12:00:00.000Z</x:v>
      </x:c>
      <x:c r="B7" s="2" t="str">
        <x:v>GIRO</x:v>
      </x:c>
      <x:c r="C7" s="12" t="n">
        <x:v>4300</x:v>
      </x:c>
      <x:c r="D7" s="12" t="n">
        <x:f>SUMIFS('Bankbuchungen'!$F$7:$F$590,'Bankbuchungen'!$B$7:$B$590,B7,'Bankbuchungen'!$C$7:$C$590,"&gt;="&amp;A7,'Bankbuchungen'!$C$7:$C$590,"&lt;"&amp;EDATE(A7,1),'Bankbuchungen'!$F$7:$F$590,"&gt;0")</x:f>
        <x:v>2385</x:v>
      </x:c>
      <x:c r="E7" s="12" t="n">
        <x:f>-SUMIFS('Bankbuchungen'!$F$7:$F$590,'Bankbuchungen'!$B$7:$B$590,B7,'Bankbuchungen'!$C$7:$C$590,"&gt;="&amp;A7,'Bankbuchungen'!$C$7:$C$590,"&lt;"&amp;EDATE(A7,1),'Bankbuchungen'!$F$7:$F$590,"&lt;0")</x:f>
        <x:v>1526.38</x:v>
      </x:c>
      <x:c r="F7" s="12" t="n">
        <x:f>C7+D7-E7</x:f>
        <x:v>5158.62</x:v>
      </x:c>
      <x:c r="G7" s="12" t="n">
        <x:v>5158.62</x:v>
      </x:c>
      <x:c r="H7" s="12" t="n">
        <x:f>ROUND(F7-G7,2)</x:f>
        <x:v>0</x:v>
      </x:c>
      <x:c r="I7" s="2" t="str">
        <x:v>02_Konten/GIRO_2023-10.pdf</x:v>
      </x:c>
    </x:row>
    <x:row r="8" ht="22" customHeight="1">
      <x:c r="A8" s="10" t="d">
        <x:v>2023-11-01T12:00:00.000Z</x:v>
      </x:c>
      <x:c r="B8" s="2" t="str">
        <x:v>GIRO</x:v>
      </x:c>
      <x:c r="C8" s="12" t="n">
        <x:f>G7</x:f>
        <x:v>5158.62</x:v>
      </x:c>
      <x:c r="D8" s="12" t="n">
        <x:f>SUMIFS('Bankbuchungen'!$F$7:$F$590,'Bankbuchungen'!$B$7:$B$590,B8,'Bankbuchungen'!$C$7:$C$590,"&gt;="&amp;A8,'Bankbuchungen'!$C$7:$C$590,"&lt;"&amp;EDATE(A8,1),'Bankbuchungen'!$F$7:$F$590,"&gt;0")</x:f>
        <x:v>2385</x:v>
      </x:c>
      <x:c r="E8" s="12" t="n">
        <x:f>-SUMIFS('Bankbuchungen'!$F$7:$F$590,'Bankbuchungen'!$B$7:$B$590,B8,'Bankbuchungen'!$C$7:$C$590,"&gt;="&amp;A8,'Bankbuchungen'!$C$7:$C$590,"&lt;"&amp;EDATE(A8,1),'Bankbuchungen'!$F$7:$F$590,"&lt;0")</x:f>
        <x:v>1606.8800000000003</x:v>
      </x:c>
      <x:c r="F8" s="12" t="n">
        <x:f>C8+D8-E8</x:f>
        <x:v>5936.74</x:v>
      </x:c>
      <x:c r="G8" s="12" t="n">
        <x:v>5936.74</x:v>
      </x:c>
      <x:c r="H8" s="12" t="n">
        <x:f>ROUND(F8-G8,2)</x:f>
        <x:v>0</x:v>
      </x:c>
      <x:c r="I8" s="2" t="str">
        <x:v>02_Konten/GIRO_2023-11.pdf</x:v>
      </x:c>
    </x:row>
    <x:row r="9" ht="22" customHeight="1">
      <x:c r="A9" s="10" t="d">
        <x:v>2023-12-01T12:00:00.000Z</x:v>
      </x:c>
      <x:c r="B9" s="2" t="str">
        <x:v>GIRO</x:v>
      </x:c>
      <x:c r="C9" s="12" t="n">
        <x:f>G8</x:f>
        <x:v>5936.74</x:v>
      </x:c>
      <x:c r="D9" s="12" t="n">
        <x:f>SUMIFS('Bankbuchungen'!$F$7:$F$590,'Bankbuchungen'!$B$7:$B$590,B9,'Bankbuchungen'!$C$7:$C$590,"&gt;="&amp;A9,'Bankbuchungen'!$C$7:$C$590,"&lt;"&amp;EDATE(A9,1),'Bankbuchungen'!$F$7:$F$590,"&gt;0")</x:f>
        <x:v>2385</x:v>
      </x:c>
      <x:c r="E9" s="12" t="n">
        <x:f>-SUMIFS('Bankbuchungen'!$F$7:$F$590,'Bankbuchungen'!$B$7:$B$590,B9,'Bankbuchungen'!$C$7:$C$590,"&gt;="&amp;A9,'Bankbuchungen'!$C$7:$C$590,"&lt;"&amp;EDATE(A9,1),'Bankbuchungen'!$F$7:$F$590,"&lt;0")</x:f>
        <x:v>1796.38</x:v>
      </x:c>
      <x:c r="F9" s="12" t="n">
        <x:f>C9+D9-E9</x:f>
        <x:v>6525.36</x:v>
      </x:c>
      <x:c r="G9" s="12" t="n">
        <x:v>6525.36</x:v>
      </x:c>
      <x:c r="H9" s="12" t="n">
        <x:f>ROUND(F9-G9,2)</x:f>
        <x:v>0</x:v>
      </x:c>
      <x:c r="I9" s="2" t="str">
        <x:v>02_Konten/GIRO_2023-12.pdf</x:v>
      </x:c>
    </x:row>
    <x:row r="10" ht="22" customHeight="1">
      <x:c r="A10" s="10" t="d">
        <x:v>2024-01-01T12:00:00.000Z</x:v>
      </x:c>
      <x:c r="B10" s="2" t="str">
        <x:v>GIRO</x:v>
      </x:c>
      <x:c r="C10" s="12" t="n">
        <x:f>G9</x:f>
        <x:v>6525.36</x:v>
      </x:c>
      <x:c r="D10" s="12" t="n">
        <x:f>SUMIFS('Bankbuchungen'!$F$7:$F$590,'Bankbuchungen'!$B$7:$B$590,B10,'Bankbuchungen'!$C$7:$C$590,"&gt;="&amp;A10,'Bankbuchungen'!$C$7:$C$590,"&lt;"&amp;EDATE(A10,1),'Bankbuchungen'!$F$7:$F$590,"&gt;0")</x:f>
        <x:v>2385</x:v>
      </x:c>
      <x:c r="E10" s="12" t="n">
        <x:f>-SUMIFS('Bankbuchungen'!$F$7:$F$590,'Bankbuchungen'!$B$7:$B$590,B10,'Bankbuchungen'!$C$7:$C$590,"&gt;="&amp;A10,'Bankbuchungen'!$C$7:$C$590,"&lt;"&amp;EDATE(A10,1),'Bankbuchungen'!$F$7:$F$590,"&lt;0")</x:f>
        <x:v>1533.88</x:v>
      </x:c>
      <x:c r="F10" s="12" t="n">
        <x:f>C10+D10-E10</x:f>
        <x:v>7376.4800000000005</x:v>
      </x:c>
      <x:c r="G10" s="12" t="n">
        <x:v>7376.48</x:v>
      </x:c>
      <x:c r="H10" s="12" t="n">
        <x:f>ROUND(F10-G10,2)</x:f>
        <x:v>0</x:v>
      </x:c>
      <x:c r="I10" s="2" t="str">
        <x:v>02_Konten/GIRO_2024-01.pdf</x:v>
      </x:c>
    </x:row>
    <x:row r="11" ht="22" customHeight="1">
      <x:c r="A11" s="10" t="d">
        <x:v>2024-02-01T12:00:00.000Z</x:v>
      </x:c>
      <x:c r="B11" s="2" t="str">
        <x:v>GIRO</x:v>
      </x:c>
      <x:c r="C11" s="12" t="n">
        <x:f>G10</x:f>
        <x:v>7376.48</x:v>
      </x:c>
      <x:c r="D11" s="12" t="n">
        <x:f>SUMIFS('Bankbuchungen'!$F$7:$F$590,'Bankbuchungen'!$B$7:$B$590,B11,'Bankbuchungen'!$C$7:$C$590,"&gt;="&amp;A11,'Bankbuchungen'!$C$7:$C$590,"&lt;"&amp;EDATE(A11,1),'Bankbuchungen'!$F$7:$F$590,"&gt;0")</x:f>
        <x:v>2385</x:v>
      </x:c>
      <x:c r="E11" s="12" t="n">
        <x:f>-SUMIFS('Bankbuchungen'!$F$7:$F$590,'Bankbuchungen'!$B$7:$B$590,B11,'Bankbuchungen'!$C$7:$C$590,"&gt;="&amp;A11,'Bankbuchungen'!$C$7:$C$590,"&lt;"&amp;EDATE(A11,1),'Bankbuchungen'!$F$7:$F$590,"&lt;0")</x:f>
        <x:v>1986.38</x:v>
      </x:c>
      <x:c r="F11" s="12" t="n">
        <x:f>C11+D11-E11</x:f>
        <x:v>7775.099999999999</x:v>
      </x:c>
      <x:c r="G11" s="12" t="n">
        <x:v>7775.1</x:v>
      </x:c>
      <x:c r="H11" s="12" t="n">
        <x:f>ROUND(F11-G11,2)</x:f>
        <x:v>0</x:v>
      </x:c>
      <x:c r="I11" s="2" t="str">
        <x:v>02_Konten/GIRO_2024-02.pdf</x:v>
      </x:c>
    </x:row>
    <x:row r="12" ht="22" customHeight="1">
      <x:c r="A12" s="10" t="d">
        <x:v>2024-03-01T12:00:00.000Z</x:v>
      </x:c>
      <x:c r="B12" s="2" t="str">
        <x:v>GIRO</x:v>
      </x:c>
      <x:c r="C12" s="12" t="n">
        <x:f>G11</x:f>
        <x:v>7775.1</x:v>
      </x:c>
      <x:c r="D12" s="12" t="n">
        <x:f>SUMIFS('Bankbuchungen'!$F$7:$F$590,'Bankbuchungen'!$B$7:$B$590,B12,'Bankbuchungen'!$C$7:$C$590,"&gt;="&amp;A12,'Bankbuchungen'!$C$7:$C$590,"&lt;"&amp;EDATE(A12,1),'Bankbuchungen'!$F$7:$F$590,"&gt;0")</x:f>
        <x:v>2469</x:v>
      </x:c>
      <x:c r="E12" s="12" t="n">
        <x:f>-SUMIFS('Bankbuchungen'!$F$7:$F$590,'Bankbuchungen'!$B$7:$B$590,B12,'Bankbuchungen'!$C$7:$C$590,"&gt;="&amp;A12,'Bankbuchungen'!$C$7:$C$590,"&lt;"&amp;EDATE(A12,1),'Bankbuchungen'!$F$7:$F$590,"&lt;0")</x:f>
        <x:v>1803.88</x:v>
      </x:c>
      <x:c r="F12" s="12" t="n">
        <x:f>C12+D12-E12</x:f>
        <x:v>8440.220000000001</x:v>
      </x:c>
      <x:c r="G12" s="12" t="n">
        <x:v>8440.22</x:v>
      </x:c>
      <x:c r="H12" s="12" t="n">
        <x:f>ROUND(F12-G12,2)</x:f>
        <x:v>0</x:v>
      </x:c>
      <x:c r="I12" s="2" t="str">
        <x:v>02_Konten/GIRO_2024-03.pdf</x:v>
      </x:c>
    </x:row>
    <x:row r="13" ht="22" customHeight="1">
      <x:c r="A13" s="10" t="d">
        <x:v>2024-04-01T12:00:00.000Z</x:v>
      </x:c>
      <x:c r="B13" s="2" t="str">
        <x:v>GIRO</x:v>
      </x:c>
      <x:c r="C13" s="12" t="n">
        <x:f>G12</x:f>
        <x:v>8440.22</x:v>
      </x:c>
      <x:c r="D13" s="12" t="n">
        <x:f>SUMIFS('Bankbuchungen'!$F$7:$F$590,'Bankbuchungen'!$B$7:$B$590,B13,'Bankbuchungen'!$C$7:$C$590,"&gt;="&amp;A13,'Bankbuchungen'!$C$7:$C$590,"&lt;"&amp;EDATE(A13,1),'Bankbuchungen'!$F$7:$F$590,"&gt;0")</x:f>
        <x:v>2385</x:v>
      </x:c>
      <x:c r="E13" s="12" t="n">
        <x:f>-SUMIFS('Bankbuchungen'!$F$7:$F$590,'Bankbuchungen'!$B$7:$B$590,B13,'Bankbuchungen'!$C$7:$C$590,"&gt;="&amp;A13,'Bankbuchungen'!$C$7:$C$590,"&lt;"&amp;EDATE(A13,1),'Bankbuchungen'!$F$7:$F$590,"&lt;0")</x:f>
        <x:v>1571.28</x:v>
      </x:c>
      <x:c r="F13" s="12" t="n">
        <x:f>C13+D13-E13</x:f>
        <x:v>9253.939999999999</x:v>
      </x:c>
      <x:c r="G13" s="12" t="n">
        <x:v>9253.94</x:v>
      </x:c>
      <x:c r="H13" s="12" t="n">
        <x:f>ROUND(F13-G13,2)</x:f>
        <x:v>0</x:v>
      </x:c>
      <x:c r="I13" s="2" t="str">
        <x:v>02_Konten/GIRO_2024-04.pdf</x:v>
      </x:c>
    </x:row>
    <x:row r="14" ht="22" customHeight="1">
      <x:c r="A14" s="10" t="d">
        <x:v>2024-05-01T12:00:00.000Z</x:v>
      </x:c>
      <x:c r="B14" s="2" t="str">
        <x:v>GIRO</x:v>
      </x:c>
      <x:c r="C14" s="12" t="n">
        <x:f>G13</x:f>
        <x:v>9253.94</x:v>
      </x:c>
      <x:c r="D14" s="12" t="n">
        <x:f>SUMIFS('Bankbuchungen'!$F$7:$F$590,'Bankbuchungen'!$B$7:$B$590,B14,'Bankbuchungen'!$C$7:$C$590,"&gt;="&amp;A14,'Bankbuchungen'!$C$7:$C$590,"&lt;"&amp;EDATE(A14,1),'Bankbuchungen'!$F$7:$F$590,"&gt;0")</x:f>
        <x:v>5885</x:v>
      </x:c>
      <x:c r="E14" s="12" t="n">
        <x:f>-SUMIFS('Bankbuchungen'!$F$7:$F$590,'Bankbuchungen'!$B$7:$B$590,B14,'Bankbuchungen'!$C$7:$C$590,"&gt;="&amp;A14,'Bankbuchungen'!$C$7:$C$590,"&lt;"&amp;EDATE(A14,1),'Bankbuchungen'!$F$7:$F$590,"&lt;0")</x:f>
        <x:v>5773.779999999999</x:v>
      </x:c>
      <x:c r="F14" s="12" t="n">
        <x:f>C14+D14-E14</x:f>
        <x:v>9365.160000000002</x:v>
      </x:c>
      <x:c r="G14" s="12" t="n">
        <x:v>9365.16</x:v>
      </x:c>
      <x:c r="H14" s="12" t="n">
        <x:f>ROUND(F14-G14,2)</x:f>
        <x:v>0</x:v>
      </x:c>
      <x:c r="I14" s="2" t="str">
        <x:v>02_Konten/GIRO_2024-05.pdf</x:v>
      </x:c>
    </x:row>
    <x:row r="15" ht="22" customHeight="1">
      <x:c r="A15" s="10" t="d">
        <x:v>2024-06-01T12:00:00.000Z</x:v>
      </x:c>
      <x:c r="B15" s="2" t="str">
        <x:v>GIRO</x:v>
      </x:c>
      <x:c r="C15" s="12" t="n">
        <x:f>G14</x:f>
        <x:v>9365.16</x:v>
      </x:c>
      <x:c r="D15" s="12" t="n">
        <x:f>SUMIFS('Bankbuchungen'!$F$7:$F$590,'Bankbuchungen'!$B$7:$B$590,B15,'Bankbuchungen'!$C$7:$C$590,"&gt;="&amp;A15,'Bankbuchungen'!$C$7:$C$590,"&lt;"&amp;EDATE(A15,1),'Bankbuchungen'!$F$7:$F$590,"&gt;0")</x:f>
        <x:v>2985</x:v>
      </x:c>
      <x:c r="E15" s="12" t="n">
        <x:f>-SUMIFS('Bankbuchungen'!$F$7:$F$590,'Bankbuchungen'!$B$7:$B$590,B15,'Bankbuchungen'!$C$7:$C$590,"&gt;="&amp;A15,'Bankbuchungen'!$C$7:$C$590,"&lt;"&amp;EDATE(A15,1),'Bankbuchungen'!$F$7:$F$590,"&lt;0")</x:f>
        <x:v>2391.2799999999997</x:v>
      </x:c>
      <x:c r="F15" s="12" t="n">
        <x:f>C15+D15-E15</x:f>
        <x:v>9958.880000000001</x:v>
      </x:c>
      <x:c r="G15" s="12" t="n">
        <x:v>9958.88</x:v>
      </x:c>
      <x:c r="H15" s="12" t="n">
        <x:f>ROUND(F15-G15,2)</x:f>
        <x:v>0</x:v>
      </x:c>
      <x:c r="I15" s="2" t="str">
        <x:v>02_Konten/GIRO_2024-06.pdf</x:v>
      </x:c>
    </x:row>
    <x:row r="16" ht="22" customHeight="1">
      <x:c r="A16" s="10" t="d">
        <x:v>2024-07-01T12:00:00.000Z</x:v>
      </x:c>
      <x:c r="B16" s="2" t="str">
        <x:v>GIRO</x:v>
      </x:c>
      <x:c r="C16" s="12" t="n">
        <x:f>G15</x:f>
        <x:v>9958.88</x:v>
      </x:c>
      <x:c r="D16" s="12" t="n">
        <x:f>SUMIFS('Bankbuchungen'!$F$7:$F$590,'Bankbuchungen'!$B$7:$B$590,B16,'Bankbuchungen'!$C$7:$C$590,"&gt;="&amp;A16,'Bankbuchungen'!$C$7:$C$590,"&lt;"&amp;EDATE(A16,1),'Bankbuchungen'!$F$7:$F$590,"&gt;0")</x:f>
        <x:v>2445</x:v>
      </x:c>
      <x:c r="E16" s="12" t="n">
        <x:f>-SUMIFS('Bankbuchungen'!$F$7:$F$590,'Bankbuchungen'!$B$7:$B$590,B16,'Bankbuchungen'!$C$7:$C$590,"&gt;="&amp;A16,'Bankbuchungen'!$C$7:$C$590,"&lt;"&amp;EDATE(A16,1),'Bankbuchungen'!$F$7:$F$590,"&lt;0")</x:f>
        <x:v>1767.78</x:v>
      </x:c>
      <x:c r="F16" s="12" t="n">
        <x:f>C16+D16-E16</x:f>
        <x:v>10636.099999999999</x:v>
      </x:c>
      <x:c r="G16" s="12" t="n">
        <x:v>10636.1</x:v>
      </x:c>
      <x:c r="H16" s="12" t="n">
        <x:f>ROUND(F16-G16,2)</x:f>
        <x:v>0</x:v>
      </x:c>
      <x:c r="I16" s="2" t="str">
        <x:v>02_Konten/GIRO_2024-07.pdf</x:v>
      </x:c>
    </x:row>
    <x:row r="17" ht="22" customHeight="1">
      <x:c r="A17" s="10" t="d">
        <x:v>2024-08-01T12:00:00.000Z</x:v>
      </x:c>
      <x:c r="B17" s="2" t="str">
        <x:v>GIRO</x:v>
      </x:c>
      <x:c r="C17" s="12" t="n">
        <x:f>G16</x:f>
        <x:v>10636.1</x:v>
      </x:c>
      <x:c r="D17" s="12" t="n">
        <x:f>SUMIFS('Bankbuchungen'!$F$7:$F$590,'Bankbuchungen'!$B$7:$B$590,B17,'Bankbuchungen'!$C$7:$C$590,"&gt;="&amp;A17,'Bankbuchungen'!$C$7:$C$590,"&lt;"&amp;EDATE(A17,1),'Bankbuchungen'!$F$7:$F$590,"&gt;0")</x:f>
        <x:v>2445</x:v>
      </x:c>
      <x:c r="E17" s="12" t="n">
        <x:f>-SUMIFS('Bankbuchungen'!$F$7:$F$590,'Bankbuchungen'!$B$7:$B$590,B17,'Bankbuchungen'!$C$7:$C$590,"&gt;="&amp;A17,'Bankbuchungen'!$C$7:$C$590,"&lt;"&amp;EDATE(A17,1),'Bankbuchungen'!$F$7:$F$590,"&lt;0")</x:f>
        <x:v>1581.28</x:v>
      </x:c>
      <x:c r="F17" s="12" t="n">
        <x:f>C17+D17-E17</x:f>
        <x:v>11499.82</x:v>
      </x:c>
      <x:c r="G17" s="12" t="n">
        <x:v>11499.82</x:v>
      </x:c>
      <x:c r="H17" s="12" t="n">
        <x:f>ROUND(F17-G17,2)</x:f>
        <x:v>0</x:v>
      </x:c>
      <x:c r="I17" s="2" t="str">
        <x:v>02_Konten/GIRO_2024-08.pdf</x:v>
      </x:c>
    </x:row>
    <x:row r="18" ht="22" customHeight="1">
      <x:c r="A18" s="10" t="d">
        <x:v>2024-09-01T12:00:00.000Z</x:v>
      </x:c>
      <x:c r="B18" s="2" t="str">
        <x:v>GIRO</x:v>
      </x:c>
      <x:c r="C18" s="12" t="n">
        <x:f>G17</x:f>
        <x:v>11499.82</x:v>
      </x:c>
      <x:c r="D18" s="12" t="n">
        <x:f>SUMIFS('Bankbuchungen'!$F$7:$F$590,'Bankbuchungen'!$B$7:$B$590,B18,'Bankbuchungen'!$C$7:$C$590,"&gt;="&amp;A18,'Bankbuchungen'!$C$7:$C$590,"&lt;"&amp;EDATE(A18,1),'Bankbuchungen'!$F$7:$F$590,"&gt;0")</x:f>
        <x:v>2445</x:v>
      </x:c>
      <x:c r="E18" s="12" t="n">
        <x:f>-SUMIFS('Bankbuchungen'!$F$7:$F$590,'Bankbuchungen'!$B$7:$B$590,B18,'Bankbuchungen'!$C$7:$C$590,"&gt;="&amp;A18,'Bankbuchungen'!$C$7:$C$590,"&lt;"&amp;EDATE(A18,1),'Bankbuchungen'!$F$7:$F$590,"&lt;0")</x:f>
        <x:v>1993.78</x:v>
      </x:c>
      <x:c r="F18" s="12" t="n">
        <x:f>C18+D18-E18</x:f>
        <x:v>11951.039999999999</x:v>
      </x:c>
      <x:c r="G18" s="12" t="n">
        <x:v>11951.04</x:v>
      </x:c>
      <x:c r="H18" s="12" t="n">
        <x:f>ROUND(F18-G18,2)</x:f>
        <x:v>0</x:v>
      </x:c>
      <x:c r="I18" s="2" t="str">
        <x:v>02_Konten/GIRO_2024-09.pdf</x:v>
      </x:c>
    </x:row>
    <x:row r="19" ht="22" customHeight="1">
      <x:c r="A19" s="10" t="d">
        <x:v>2024-10-01T12:00:00.000Z</x:v>
      </x:c>
      <x:c r="B19" s="2" t="str">
        <x:v>GIRO</x:v>
      </x:c>
      <x:c r="C19" s="12" t="n">
        <x:f>G18</x:f>
        <x:v>11951.04</x:v>
      </x:c>
      <x:c r="D19" s="12" t="n">
        <x:f>SUMIFS('Bankbuchungen'!$F$7:$F$590,'Bankbuchungen'!$B$7:$B$590,B19,'Bankbuchungen'!$C$7:$C$590,"&gt;="&amp;A19,'Bankbuchungen'!$C$7:$C$590,"&lt;"&amp;EDATE(A19,1),'Bankbuchungen'!$F$7:$F$590,"&gt;0")</x:f>
        <x:v>2445</x:v>
      </x:c>
      <x:c r="E19" s="12" t="n">
        <x:f>-SUMIFS('Bankbuchungen'!$F$7:$F$590,'Bankbuchungen'!$B$7:$B$590,B19,'Bankbuchungen'!$C$7:$C$590,"&gt;="&amp;A19,'Bankbuchungen'!$C$7:$C$590,"&lt;"&amp;EDATE(A19,1),'Bankbuchungen'!$F$7:$F$590,"&lt;0")</x:f>
        <x:v>2931.2799999999997</x:v>
      </x:c>
      <x:c r="F19" s="12" t="n">
        <x:f>C19+D19-E19</x:f>
        <x:v>11464.760000000002</x:v>
      </x:c>
      <x:c r="G19" s="12" t="n">
        <x:v>11464.76</x:v>
      </x:c>
      <x:c r="H19" s="12" t="n">
        <x:f>ROUND(F19-G19,2)</x:f>
        <x:v>0</x:v>
      </x:c>
      <x:c r="I19" s="2" t="str">
        <x:v>02_Konten/GIRO_2024-10.pdf</x:v>
      </x:c>
    </x:row>
    <x:row r="20" ht="22" customHeight="1">
      <x:c r="A20" s="10" t="d">
        <x:v>2024-11-01T12:00:00.000Z</x:v>
      </x:c>
      <x:c r="B20" s="2" t="str">
        <x:v>GIRO</x:v>
      </x:c>
      <x:c r="C20" s="12" t="n">
        <x:f>G19</x:f>
        <x:v>11464.76</x:v>
      </x:c>
      <x:c r="D20" s="12" t="n">
        <x:f>SUMIFS('Bankbuchungen'!$F$7:$F$590,'Bankbuchungen'!$B$7:$B$590,B20,'Bankbuchungen'!$C$7:$C$590,"&gt;="&amp;A20,'Bankbuchungen'!$C$7:$C$590,"&lt;"&amp;EDATE(A20,1),'Bankbuchungen'!$F$7:$F$590,"&gt;0")</x:f>
        <x:v>2445</x:v>
      </x:c>
      <x:c r="E20" s="12" t="n">
        <x:f>-SUMIFS('Bankbuchungen'!$F$7:$F$590,'Bankbuchungen'!$B$7:$B$590,B20,'Bankbuchungen'!$C$7:$C$590,"&gt;="&amp;A20,'Bankbuchungen'!$C$7:$C$590,"&lt;"&amp;EDATE(A20,1),'Bankbuchungen'!$F$7:$F$590,"&lt;0")</x:f>
        <x:v>1733.78</x:v>
      </x:c>
      <x:c r="F20" s="12" t="n">
        <x:f>C20+D20-E20</x:f>
        <x:v>12175.98</x:v>
      </x:c>
      <x:c r="G20" s="12" t="n">
        <x:v>12175.98</x:v>
      </x:c>
      <x:c r="H20" s="12" t="n">
        <x:f>ROUND(F20-G20,2)</x:f>
        <x:v>0</x:v>
      </x:c>
      <x:c r="I20" s="2" t="str">
        <x:v>02_Konten/GIRO_2024-11.pdf</x:v>
      </x:c>
    </x:row>
    <x:row r="21" ht="22" customHeight="1">
      <x:c r="A21" s="10" t="d">
        <x:v>2024-12-01T12:00:00.000Z</x:v>
      </x:c>
      <x:c r="B21" s="2" t="str">
        <x:v>GIRO</x:v>
      </x:c>
      <x:c r="C21" s="12" t="n">
        <x:f>G20</x:f>
        <x:v>12175.98</x:v>
      </x:c>
      <x:c r="D21" s="12" t="n">
        <x:f>SUMIFS('Bankbuchungen'!$F$7:$F$590,'Bankbuchungen'!$B$7:$B$590,B21,'Bankbuchungen'!$C$7:$C$590,"&gt;="&amp;A21,'Bankbuchungen'!$C$7:$C$590,"&lt;"&amp;EDATE(A21,1),'Bankbuchungen'!$F$7:$F$590,"&gt;0")</x:f>
        <x:v>2445</x:v>
      </x:c>
      <x:c r="E21" s="12" t="n">
        <x:f>-SUMIFS('Bankbuchungen'!$F$7:$F$590,'Bankbuchungen'!$B$7:$B$590,B21,'Bankbuchungen'!$C$7:$C$590,"&gt;="&amp;A21,'Bankbuchungen'!$C$7:$C$590,"&lt;"&amp;EDATE(A21,1),'Bankbuchungen'!$F$7:$F$590,"&lt;0")</x:f>
        <x:v>2321.28</x:v>
      </x:c>
      <x:c r="F21" s="12" t="n">
        <x:f>C21+D21-E21</x:f>
        <x:v>12299.699999999999</x:v>
      </x:c>
      <x:c r="G21" s="12" t="n">
        <x:v>12299.7</x:v>
      </x:c>
      <x:c r="H21" s="12" t="n">
        <x:f>ROUND(F21-G21,2)</x:f>
        <x:v>0</x:v>
      </x:c>
      <x:c r="I21" s="2" t="str">
        <x:v>02_Konten/GIRO_2024-12.pdf</x:v>
      </x:c>
    </x:row>
    <x:row r="22" ht="22" customHeight="1">
      <x:c r="A22" s="10" t="d">
        <x:v>2025-01-01T12:00:00.000Z</x:v>
      </x:c>
      <x:c r="B22" s="2" t="str">
        <x:v>GIRO</x:v>
      </x:c>
      <x:c r="C22" s="12" t="n">
        <x:f>G21</x:f>
        <x:v>12299.7</x:v>
      </x:c>
      <x:c r="D22" s="12" t="n">
        <x:f>SUMIFS('Bankbuchungen'!$F$7:$F$590,'Bankbuchungen'!$B$7:$B$590,B22,'Bankbuchungen'!$C$7:$C$590,"&gt;="&amp;A22,'Bankbuchungen'!$C$7:$C$590,"&lt;"&amp;EDATE(A22,1),'Bankbuchungen'!$F$7:$F$590,"&gt;0")</x:f>
        <x:v>2445</x:v>
      </x:c>
      <x:c r="E22" s="12" t="n">
        <x:f>-SUMIFS('Bankbuchungen'!$F$7:$F$590,'Bankbuchungen'!$B$7:$B$590,B22,'Bankbuchungen'!$C$7:$C$590,"&gt;="&amp;A22,'Bankbuchungen'!$C$7:$C$590,"&lt;"&amp;EDATE(A22,1),'Bankbuchungen'!$F$7:$F$590,"&lt;0")</x:f>
        <x:v>2405.68</x:v>
      </x:c>
      <x:c r="F22" s="12" t="n">
        <x:f>C22+D22-E22</x:f>
        <x:v>12339.02</x:v>
      </x:c>
      <x:c r="G22" s="12" t="n">
        <x:v>12339.02</x:v>
      </x:c>
      <x:c r="H22" s="12" t="n">
        <x:f>ROUND(F22-G22,2)</x:f>
        <x:v>0</x:v>
      </x:c>
      <x:c r="I22" s="2" t="str">
        <x:v>02_Konten/GIRO_2025-01.pdf</x:v>
      </x:c>
    </x:row>
    <x:row r="23" ht="22" customHeight="1">
      <x:c r="A23" s="10" t="d">
        <x:v>2025-02-01T12:00:00.000Z</x:v>
      </x:c>
      <x:c r="B23" s="2" t="str">
        <x:v>GIRO</x:v>
      </x:c>
      <x:c r="C23" s="12" t="n">
        <x:f>G22</x:f>
        <x:v>12339.02</x:v>
      </x:c>
      <x:c r="D23" s="12" t="n">
        <x:f>SUMIFS('Bankbuchungen'!$F$7:$F$590,'Bankbuchungen'!$B$7:$B$590,B23,'Bankbuchungen'!$C$7:$C$590,"&gt;="&amp;A23,'Bankbuchungen'!$C$7:$C$590,"&lt;"&amp;EDATE(A23,1),'Bankbuchungen'!$F$7:$F$590,"&gt;0")</x:f>
        <x:v>2445</x:v>
      </x:c>
      <x:c r="E23" s="12" t="n">
        <x:f>-SUMIFS('Bankbuchungen'!$F$7:$F$590,'Bankbuchungen'!$B$7:$B$590,B23,'Bankbuchungen'!$C$7:$C$590,"&gt;="&amp;A23,'Bankbuchungen'!$C$7:$C$590,"&lt;"&amp;EDATE(A23,1),'Bankbuchungen'!$F$7:$F$590,"&lt;0")</x:f>
        <x:v>1840.18</x:v>
      </x:c>
      <x:c r="F23" s="12" t="n">
        <x:f>C23+D23-E23</x:f>
        <x:v>12943.84</x:v>
      </x:c>
      <x:c r="G23" s="12" t="n">
        <x:v>12943.84</x:v>
      </x:c>
      <x:c r="H23" s="12" t="n">
        <x:f>ROUND(F23-G23,2)</x:f>
        <x:v>0</x:v>
      </x:c>
      <x:c r="I23" s="2" t="str">
        <x:v>02_Konten/GIRO_2025-02.pdf</x:v>
      </x:c>
    </x:row>
    <x:row r="24" ht="22" customHeight="1">
      <x:c r="A24" s="10" t="d">
        <x:v>2025-03-01T12:00:00.000Z</x:v>
      </x:c>
      <x:c r="B24" s="2" t="str">
        <x:v>GIRO</x:v>
      </x:c>
      <x:c r="C24" s="12" t="n">
        <x:f>G23</x:f>
        <x:v>12943.84</x:v>
      </x:c>
      <x:c r="D24" s="12" t="n">
        <x:f>SUMIFS('Bankbuchungen'!$F$7:$F$590,'Bankbuchungen'!$B$7:$B$590,B24,'Bankbuchungen'!$C$7:$C$590,"&gt;="&amp;A24,'Bankbuchungen'!$C$7:$C$590,"&lt;"&amp;EDATE(A24,1),'Bankbuchungen'!$F$7:$F$590,"&gt;0")</x:f>
        <x:v>2477</x:v>
      </x:c>
      <x:c r="E24" s="12" t="n">
        <x:f>-SUMIFS('Bankbuchungen'!$F$7:$F$590,'Bankbuchungen'!$B$7:$B$590,B24,'Bankbuchungen'!$C$7:$C$590,"&gt;="&amp;A24,'Bankbuchungen'!$C$7:$C$590,"&lt;"&amp;EDATE(A24,1),'Bankbuchungen'!$F$7:$F$590,"&lt;0")</x:f>
        <x:v>2107.68</x:v>
      </x:c>
      <x:c r="F24" s="12" t="n">
        <x:f>C24+D24-E24</x:f>
        <x:v>13313.16</x:v>
      </x:c>
      <x:c r="G24" s="12" t="n">
        <x:v>13313.16</x:v>
      </x:c>
      <x:c r="H24" s="12" t="n">
        <x:f>ROUND(F24-G24,2)</x:f>
        <x:v>0</x:v>
      </x:c>
      <x:c r="I24" s="2" t="str">
        <x:v>02_Konten/GIRO_2025-03.pdf</x:v>
      </x:c>
    </x:row>
    <x:row r="25" ht="22" customHeight="1">
      <x:c r="A25" s="10" t="d">
        <x:v>2025-04-01T12:00:00.000Z</x:v>
      </x:c>
      <x:c r="B25" s="2" t="str">
        <x:v>GIRO</x:v>
      </x:c>
      <x:c r="C25" s="12" t="n">
        <x:f>G24</x:f>
        <x:v>13313.16</x:v>
      </x:c>
      <x:c r="D25" s="12" t="n">
        <x:f>SUMIFS('Bankbuchungen'!$F$7:$F$590,'Bankbuchungen'!$B$7:$B$590,B25,'Bankbuchungen'!$C$7:$C$590,"&gt;="&amp;A25,'Bankbuchungen'!$C$7:$C$590,"&lt;"&amp;EDATE(A25,1),'Bankbuchungen'!$F$7:$F$590,"&gt;0")</x:f>
        <x:v>2895</x:v>
      </x:c>
      <x:c r="E25" s="12" t="n">
        <x:f>-SUMIFS('Bankbuchungen'!$F$7:$F$590,'Bankbuchungen'!$B$7:$B$590,B25,'Bankbuchungen'!$C$7:$C$590,"&gt;="&amp;A25,'Bankbuchungen'!$C$7:$C$590,"&lt;"&amp;EDATE(A25,1),'Bankbuchungen'!$F$7:$F$590,"&lt;0")</x:f>
        <x:v>2295.18</x:v>
      </x:c>
      <x:c r="F25" s="12" t="n">
        <x:f>C25+D25-E25</x:f>
        <x:v>13912.98</x:v>
      </x:c>
      <x:c r="G25" s="12" t="n">
        <x:v>13912.98</x:v>
      </x:c>
      <x:c r="H25" s="12" t="n">
        <x:f>ROUND(F25-G25,2)</x:f>
        <x:v>0</x:v>
      </x:c>
      <x:c r="I25" s="2" t="str">
        <x:v>02_Konten/GIRO_2025-04.pdf</x:v>
      </x:c>
    </x:row>
    <x:row r="26" ht="22" customHeight="1">
      <x:c r="A26" s="10" t="d">
        <x:v>2025-05-01T12:00:00.000Z</x:v>
      </x:c>
      <x:c r="B26" s="2" t="str">
        <x:v>GIRO</x:v>
      </x:c>
      <x:c r="C26" s="12" t="n">
        <x:f>G25</x:f>
        <x:v>13912.98</x:v>
      </x:c>
      <x:c r="D26" s="12" t="n">
        <x:f>SUMIFS('Bankbuchungen'!$F$7:$F$590,'Bankbuchungen'!$B$7:$B$590,B26,'Bankbuchungen'!$C$7:$C$590,"&gt;="&amp;A26,'Bankbuchungen'!$C$7:$C$590,"&lt;"&amp;EDATE(A26,1),'Bankbuchungen'!$F$7:$F$590,"&gt;0")</x:f>
        <x:v>2445</x:v>
      </x:c>
      <x:c r="E26" s="12" t="n">
        <x:f>-SUMIFS('Bankbuchungen'!$F$7:$F$590,'Bankbuchungen'!$B$7:$B$590,B26,'Bankbuchungen'!$C$7:$C$590,"&gt;="&amp;A26,'Bankbuchungen'!$C$7:$C$590,"&lt;"&amp;EDATE(A26,1),'Bankbuchungen'!$F$7:$F$590,"&lt;0")</x:f>
        <x:v>2651.68</x:v>
      </x:c>
      <x:c r="F26" s="12" t="n">
        <x:f>C26+D26-E26</x:f>
        <x:v>13706.3</x:v>
      </x:c>
      <x:c r="G26" s="12" t="n">
        <x:v>13706.3</x:v>
      </x:c>
      <x:c r="H26" s="12" t="n">
        <x:f>ROUND(F26-G26,2)</x:f>
        <x:v>0</x:v>
      </x:c>
      <x:c r="I26" s="2" t="str">
        <x:v>02_Konten/GIRO_2025-05.pdf</x:v>
      </x:c>
    </x:row>
    <x:row r="27" ht="22" customHeight="1">
      <x:c r="A27" s="10" t="d">
        <x:v>2025-06-01T12:00:00.000Z</x:v>
      </x:c>
      <x:c r="B27" s="2" t="str">
        <x:v>GIRO</x:v>
      </x:c>
      <x:c r="C27" s="12" t="n">
        <x:f>G26</x:f>
        <x:v>13706.3</x:v>
      </x:c>
      <x:c r="D27" s="12" t="n">
        <x:f>SUMIFS('Bankbuchungen'!$F$7:$F$590,'Bankbuchungen'!$B$7:$B$590,B27,'Bankbuchungen'!$C$7:$C$590,"&gt;="&amp;A27,'Bankbuchungen'!$C$7:$C$590,"&lt;"&amp;EDATE(A27,1),'Bankbuchungen'!$F$7:$F$590,"&gt;0")</x:f>
        <x:v>2445</x:v>
      </x:c>
      <x:c r="E27" s="12" t="n">
        <x:f>-SUMIFS('Bankbuchungen'!$F$7:$F$590,'Bankbuchungen'!$B$7:$B$590,B27,'Bankbuchungen'!$C$7:$C$590,"&gt;="&amp;A27,'Bankbuchungen'!$C$7:$C$590,"&lt;"&amp;EDATE(A27,1),'Bankbuchungen'!$F$7:$F$590,"&lt;0")</x:f>
        <x:v>2670.18</x:v>
      </x:c>
      <x:c r="F27" s="12" t="n">
        <x:f>C27+D27-E27</x:f>
        <x:v>13481.119999999999</x:v>
      </x:c>
      <x:c r="G27" s="12" t="n">
        <x:v>13481.12</x:v>
      </x:c>
      <x:c r="H27" s="12" t="n">
        <x:f>ROUND(F27-G27,2)</x:f>
        <x:v>0</x:v>
      </x:c>
      <x:c r="I27" s="2" t="str">
        <x:v>02_Konten/GIRO_2025-06.pdf</x:v>
      </x:c>
    </x:row>
    <x:row r="28" ht="22" customHeight="1">
      <x:c r="A28" s="10" t="d">
        <x:v>2025-07-01T12:00:00.000Z</x:v>
      </x:c>
      <x:c r="B28" s="2" t="str">
        <x:v>GIRO</x:v>
      </x:c>
      <x:c r="C28" s="12" t="n">
        <x:f>G27</x:f>
        <x:v>13481.12</x:v>
      </x:c>
      <x:c r="D28" s="12" t="n">
        <x:f>SUMIFS('Bankbuchungen'!$F$7:$F$590,'Bankbuchungen'!$B$7:$B$590,B28,'Bankbuchungen'!$C$7:$C$590,"&gt;="&amp;A28,'Bankbuchungen'!$C$7:$C$590,"&lt;"&amp;EDATE(A28,1),'Bankbuchungen'!$F$7:$F$590,"&gt;0")</x:f>
        <x:v>2505</x:v>
      </x:c>
      <x:c r="E28" s="12" t="n">
        <x:f>-SUMIFS('Bankbuchungen'!$F$7:$F$590,'Bankbuchungen'!$B$7:$B$590,B28,'Bankbuchungen'!$C$7:$C$590,"&gt;="&amp;A28,'Bankbuchungen'!$C$7:$C$590,"&lt;"&amp;EDATE(A28,1),'Bankbuchungen'!$F$7:$F$590,"&lt;0")</x:f>
        <x:v>1857.68</x:v>
      </x:c>
      <x:c r="F28" s="12" t="n">
        <x:f>C28+D28-E28</x:f>
        <x:v>14128.44</x:v>
      </x:c>
      <x:c r="G28" s="12" t="n">
        <x:v>14128.44</x:v>
      </x:c>
      <x:c r="H28" s="12" t="n">
        <x:f>ROUND(F28-G28,2)</x:f>
        <x:v>0</x:v>
      </x:c>
      <x:c r="I28" s="2" t="str">
        <x:v>02_Konten/GIRO_2025-07.pdf</x:v>
      </x:c>
    </x:row>
    <x:row r="29" ht="22" customHeight="1">
      <x:c r="A29" s="10" t="d">
        <x:v>2025-08-01T12:00:00.000Z</x:v>
      </x:c>
      <x:c r="B29" s="2" t="str">
        <x:v>GIRO</x:v>
      </x:c>
      <x:c r="C29" s="12" t="n">
        <x:f>G28</x:f>
        <x:v>14128.44</x:v>
      </x:c>
      <x:c r="D29" s="12" t="n">
        <x:f>SUMIFS('Bankbuchungen'!$F$7:$F$590,'Bankbuchungen'!$B$7:$B$590,B29,'Bankbuchungen'!$C$7:$C$590,"&gt;="&amp;A29,'Bankbuchungen'!$C$7:$C$590,"&lt;"&amp;EDATE(A29,1),'Bankbuchungen'!$F$7:$F$590,"&gt;0")</x:f>
        <x:v>2505</x:v>
      </x:c>
      <x:c r="E29" s="12" t="n">
        <x:f>-SUMIFS('Bankbuchungen'!$F$7:$F$590,'Bankbuchungen'!$B$7:$B$590,B29,'Bankbuchungen'!$C$7:$C$590,"&gt;="&amp;A29,'Bankbuchungen'!$C$7:$C$590,"&lt;"&amp;EDATE(A29,1),'Bankbuchungen'!$F$7:$F$590,"&lt;0")</x:f>
        <x:v>2135.1800000000003</x:v>
      </x:c>
      <x:c r="F29" s="12" t="n">
        <x:f>C29+D29-E29</x:f>
        <x:v>14498.260000000002</x:v>
      </x:c>
      <x:c r="G29" s="12" t="n">
        <x:v>14498.26</x:v>
      </x:c>
      <x:c r="H29" s="12" t="n">
        <x:f>ROUND(F29-G29,2)</x:f>
        <x:v>0</x:v>
      </x:c>
      <x:c r="I29" s="2" t="str">
        <x:v>02_Konten/GIRO_2025-08.pdf</x:v>
      </x:c>
    </x:row>
    <x:row r="30" ht="22" customHeight="1">
      <x:c r="A30" s="10" t="d">
        <x:v>2025-09-01T12:00:00.000Z</x:v>
      </x:c>
      <x:c r="B30" s="2" t="str">
        <x:v>GIRO</x:v>
      </x:c>
      <x:c r="C30" s="12" t="n">
        <x:f>G29</x:f>
        <x:v>14498.26</x:v>
      </x:c>
      <x:c r="D30" s="12" t="n">
        <x:f>SUMIFS('Bankbuchungen'!$F$7:$F$590,'Bankbuchungen'!$B$7:$B$590,B30,'Bankbuchungen'!$C$7:$C$590,"&gt;="&amp;A30,'Bankbuchungen'!$C$7:$C$590,"&lt;"&amp;EDATE(A30,1),'Bankbuchungen'!$F$7:$F$590,"&gt;0")</x:f>
        <x:v>5005</x:v>
      </x:c>
      <x:c r="E30" s="12" t="n">
        <x:f>-SUMIFS('Bankbuchungen'!$F$7:$F$590,'Bankbuchungen'!$B$7:$B$590,B30,'Bankbuchungen'!$C$7:$C$590,"&gt;="&amp;A30,'Bankbuchungen'!$C$7:$C$590,"&lt;"&amp;EDATE(A30,1),'Bankbuchungen'!$F$7:$F$590,"&lt;0")</x:f>
        <x:v>4327.679999999999</x:v>
      </x:c>
      <x:c r="F30" s="12" t="n">
        <x:f>C30+D30-E30</x:f>
        <x:v>15175.580000000002</x:v>
      </x:c>
      <x:c r="G30" s="12" t="n">
        <x:v>15175.58</x:v>
      </x:c>
      <x:c r="H30" s="12" t="n">
        <x:f>ROUND(F30-G30,2)</x:f>
        <x:v>0</x:v>
      </x:c>
      <x:c r="I30" s="2" t="str">
        <x:v>02_Konten/GIRO_2025-09.pdf</x:v>
      </x:c>
    </x:row>
    <x:row r="31" ht="22" customHeight="1">
      <x:c r="A31" s="10" t="d">
        <x:v>2025-10-01T12:00:00.000Z</x:v>
      </x:c>
      <x:c r="B31" s="2" t="str">
        <x:v>GIRO</x:v>
      </x:c>
      <x:c r="C31" s="12" t="n">
        <x:f>G30</x:f>
        <x:v>15175.58</x:v>
      </x:c>
      <x:c r="D31" s="12" t="n">
        <x:f>SUMIFS('Bankbuchungen'!$F$7:$F$590,'Bankbuchungen'!$B$7:$B$590,B31,'Bankbuchungen'!$C$7:$C$590,"&gt;="&amp;A31,'Bankbuchungen'!$C$7:$C$590,"&lt;"&amp;EDATE(A31,1),'Bankbuchungen'!$F$7:$F$590,"&gt;0")</x:f>
        <x:v>2505</x:v>
      </x:c>
      <x:c r="E31" s="12" t="n">
        <x:f>-SUMIFS('Bankbuchungen'!$F$7:$F$590,'Bankbuchungen'!$B$7:$B$590,B31,'Bankbuchungen'!$C$7:$C$590,"&gt;="&amp;A31,'Bankbuchungen'!$C$7:$C$590,"&lt;"&amp;EDATE(A31,1),'Bankbuchungen'!$F$7:$F$590,"&lt;0")</x:f>
        <x:v>2315.18</x:v>
      </x:c>
      <x:c r="F31" s="12" t="n">
        <x:f>C31+D31-E31</x:f>
        <x:v>15365.400000000001</x:v>
      </x:c>
      <x:c r="G31" s="12" t="n">
        <x:v>15365.4</x:v>
      </x:c>
      <x:c r="H31" s="12" t="n">
        <x:f>ROUND(F31-G31,2)</x:f>
        <x:v>0</x:v>
      </x:c>
      <x:c r="I31" s="2" t="str">
        <x:v>02_Konten/GIRO_2025-10.pdf</x:v>
      </x:c>
    </x:row>
    <x:row r="32" ht="22" customHeight="1">
      <x:c r="A32" s="10" t="d">
        <x:v>2025-11-01T12:00:00.000Z</x:v>
      </x:c>
      <x:c r="B32" s="2" t="str">
        <x:v>GIRO</x:v>
      </x:c>
      <x:c r="C32" s="12" t="n">
        <x:f>G31</x:f>
        <x:v>15365.4</x:v>
      </x:c>
      <x:c r="D32" s="12" t="n">
        <x:f>SUMIFS('Bankbuchungen'!$F$7:$F$590,'Bankbuchungen'!$B$7:$B$590,B32,'Bankbuchungen'!$C$7:$C$590,"&gt;="&amp;A32,'Bankbuchungen'!$C$7:$C$590,"&lt;"&amp;EDATE(A32,1),'Bankbuchungen'!$F$7:$F$590,"&gt;0")</x:f>
        <x:v>2574.9</x:v>
      </x:c>
      <x:c r="E32" s="12" t="n">
        <x:f>-SUMIFS('Bankbuchungen'!$F$7:$F$590,'Bankbuchungen'!$B$7:$B$590,B32,'Bankbuchungen'!$C$7:$C$590,"&gt;="&amp;A32,'Bankbuchungen'!$C$7:$C$590,"&lt;"&amp;EDATE(A32,1),'Bankbuchungen'!$F$7:$F$590,"&lt;0")</x:f>
        <x:v>1937.5800000000002</x:v>
      </x:c>
      <x:c r="F32" s="12" t="n">
        <x:f>C32+D32-E32</x:f>
        <x:v>16002.72</x:v>
      </x:c>
      <x:c r="G32" s="12" t="n">
        <x:v>16002.72</x:v>
      </x:c>
      <x:c r="H32" s="12" t="n">
        <x:f>ROUND(F32-G32,2)</x:f>
        <x:v>0</x:v>
      </x:c>
      <x:c r="I32" s="2" t="str">
        <x:v>02_Konten/GIRO_2025-11.pdf</x:v>
      </x:c>
    </x:row>
    <x:row r="33" ht="22" customHeight="1">
      <x:c r="A33" s="10" t="d">
        <x:v>2025-12-01T12:00:00.000Z</x:v>
      </x:c>
      <x:c r="B33" s="2" t="str">
        <x:v>GIRO</x:v>
      </x:c>
      <x:c r="C33" s="12" t="n">
        <x:f>G32</x:f>
        <x:v>16002.72</x:v>
      </x:c>
      <x:c r="D33" s="12" t="n">
        <x:f>SUMIFS('Bankbuchungen'!$F$7:$F$590,'Bankbuchungen'!$B$7:$B$590,B33,'Bankbuchungen'!$C$7:$C$590,"&gt;="&amp;A33,'Bankbuchungen'!$C$7:$C$590,"&lt;"&amp;EDATE(A33,1),'Bankbuchungen'!$F$7:$F$590,"&gt;0")</x:f>
        <x:v>2505</x:v>
      </x:c>
      <x:c r="E33" s="12" t="n">
        <x:f>-SUMIFS('Bankbuchungen'!$F$7:$F$590,'Bankbuchungen'!$B$7:$B$590,B33,'Bankbuchungen'!$C$7:$C$590,"&gt;="&amp;A33,'Bankbuchungen'!$C$7:$C$590,"&lt;"&amp;EDATE(A33,1),'Bankbuchungen'!$F$7:$F$590,"&lt;0")</x:f>
        <x:v>2545.18</x:v>
      </x:c>
      <x:c r="F33" s="12" t="n">
        <x:f>C33+D33-E33</x:f>
        <x:v>15962.54</x:v>
      </x:c>
      <x:c r="G33" s="12" t="n">
        <x:v>15962.54</x:v>
      </x:c>
      <x:c r="H33" s="12" t="n">
        <x:f>ROUND(F33-G33,2)</x:f>
        <x:v>0</x:v>
      </x:c>
      <x:c r="I33" s="2" t="str">
        <x:v>02_Konten/GIRO_2025-12.pdf</x:v>
      </x:c>
    </x:row>
    <x:row r="34" ht="22" customHeight="1">
      <x:c r="A34" s="10" t="d">
        <x:v>2026-01-01T12:00:00.000Z</x:v>
      </x:c>
      <x:c r="B34" s="2" t="str">
        <x:v>GIRO</x:v>
      </x:c>
      <x:c r="C34" s="12" t="n">
        <x:f>G33</x:f>
        <x:v>15962.54</x:v>
      </x:c>
      <x:c r="D34" s="12" t="n">
        <x:f>SUMIFS('Bankbuchungen'!$F$7:$F$590,'Bankbuchungen'!$B$7:$B$590,B34,'Bankbuchungen'!$C$7:$C$590,"&gt;="&amp;A34,'Bankbuchungen'!$C$7:$C$590,"&lt;"&amp;EDATE(A34,1),'Bankbuchungen'!$F$7:$F$590,"&gt;0")</x:f>
        <x:v>2805</x:v>
      </x:c>
      <x:c r="E34" s="12" t="n">
        <x:f>-SUMIFS('Bankbuchungen'!$F$7:$F$590,'Bankbuchungen'!$B$7:$B$590,B34,'Bankbuchungen'!$C$7:$C$590,"&gt;="&amp;A34,'Bankbuchungen'!$C$7:$C$590,"&lt;"&amp;EDATE(A34,1),'Bankbuchungen'!$F$7:$F$590,"&lt;0")</x:f>
        <x:v>1872.68</x:v>
      </x:c>
      <x:c r="F34" s="12" t="n">
        <x:f>C34+D34-E34</x:f>
        <x:v>16894.86</x:v>
      </x:c>
      <x:c r="G34" s="12" t="n">
        <x:v>16894.86</x:v>
      </x:c>
      <x:c r="H34" s="12" t="n">
        <x:f>ROUND(F34-G34,2)</x:f>
        <x:v>0</x:v>
      </x:c>
      <x:c r="I34" s="2" t="str">
        <x:v>02_Konten/GIRO_2026-01.pdf</x:v>
      </x:c>
    </x:row>
    <x:row r="35" ht="22" customHeight="1">
      <x:c r="A35" s="10" t="d">
        <x:v>2026-02-01T12:00:00.000Z</x:v>
      </x:c>
      <x:c r="B35" s="2" t="str">
        <x:v>GIRO</x:v>
      </x:c>
      <x:c r="C35" s="12" t="n">
        <x:f>G34</x:f>
        <x:v>16894.86</x:v>
      </x:c>
      <x:c r="D35" s="12" t="n">
        <x:f>SUMIFS('Bankbuchungen'!$F$7:$F$590,'Bankbuchungen'!$B$7:$B$590,B35,'Bankbuchungen'!$C$7:$C$590,"&gt;="&amp;A35,'Bankbuchungen'!$C$7:$C$590,"&lt;"&amp;EDATE(A35,1),'Bankbuchungen'!$F$7:$F$590,"&gt;0")</x:f>
        <x:v>0</x:v>
      </x:c>
      <x:c r="E35" s="12" t="n">
        <x:f>-SUMIFS('Bankbuchungen'!$F$7:$F$590,'Bankbuchungen'!$B$7:$B$590,B35,'Bankbuchungen'!$C$7:$C$590,"&gt;="&amp;A35,'Bankbuchungen'!$C$7:$C$590,"&lt;"&amp;EDATE(A35,1),'Bankbuchungen'!$F$7:$F$590,"&lt;0")</x:f>
        <x:v>2425.18</x:v>
      </x:c>
      <x:c r="F35" s="12" t="n">
        <x:f>C35+D35-E35</x:f>
        <x:v>14469.68</x:v>
      </x:c>
      <x:c r="G35" s="12" t="n">
        <x:v>14469.68</x:v>
      </x:c>
      <x:c r="H35" s="12" t="n">
        <x:f>ROUND(F35-G35,2)</x:f>
        <x:v>0</x:v>
      </x:c>
      <x:c r="I35" s="2" t="str">
        <x:v>02_Konten/GIRO_2026-02.pdf</x:v>
      </x:c>
    </x:row>
    <x:row r="36" ht="22" customHeight="1">
      <x:c r="A36" s="10" t="d">
        <x:v>2026-03-01T12:00:00.000Z</x:v>
      </x:c>
      <x:c r="B36" s="2" t="str">
        <x:v>GIRO</x:v>
      </x:c>
      <x:c r="C36" s="12" t="n">
        <x:f>G35</x:f>
        <x:v>14469.68</x:v>
      </x:c>
      <x:c r="D36" s="12" t="n">
        <x:f>SUMIFS('Bankbuchungen'!$F$7:$F$590,'Bankbuchungen'!$B$7:$B$590,B36,'Bankbuchungen'!$C$7:$C$590,"&gt;="&amp;A36,'Bankbuchungen'!$C$7:$C$590,"&lt;"&amp;EDATE(A36,1),'Bankbuchungen'!$F$7:$F$590,"&gt;0")</x:f>
        <x:v>5010</x:v>
      </x:c>
      <x:c r="E36" s="12" t="n">
        <x:f>-SUMIFS('Bankbuchungen'!$F$7:$F$590,'Bankbuchungen'!$B$7:$B$590,B36,'Bankbuchungen'!$C$7:$C$590,"&gt;="&amp;A36,'Bankbuchungen'!$C$7:$C$590,"&lt;"&amp;EDATE(A36,1),'Bankbuchungen'!$F$7:$F$590,"&lt;0")</x:f>
        <x:v>2235.68</x:v>
      </x:c>
      <x:c r="F36" s="12" t="n">
        <x:f>C36+D36-E36</x:f>
        <x:v>17244</x:v>
      </x:c>
      <x:c r="G36" s="12" t="n">
        <x:v>17244</x:v>
      </x:c>
      <x:c r="H36" s="12" t="n">
        <x:f>ROUND(F36-G36,2)</x:f>
        <x:v>0</x:v>
      </x:c>
      <x:c r="I36" s="2" t="str">
        <x:v>02_Konten/GIRO_2026-03.pdf</x:v>
      </x:c>
    </x:row>
    <x:row r="37" ht="22" customHeight="1">
      <x:c r="A37" s="10" t="d">
        <x:v>2026-04-01T12:00:00.000Z</x:v>
      </x:c>
      <x:c r="B37" s="2" t="str">
        <x:v>GIRO</x:v>
      </x:c>
      <x:c r="C37" s="12" t="n">
        <x:f>G36</x:f>
        <x:v>17244</x:v>
      </x:c>
      <x:c r="D37" s="12" t="n">
        <x:f>SUMIFS('Bankbuchungen'!$F$7:$F$590,'Bankbuchungen'!$B$7:$B$590,B37,'Bankbuchungen'!$C$7:$C$590,"&gt;="&amp;A37,'Bankbuchungen'!$C$7:$C$590,"&lt;"&amp;EDATE(A37,1),'Bankbuchungen'!$F$7:$F$590,"&gt;0")</x:f>
        <x:v>2505</x:v>
      </x:c>
      <x:c r="E37" s="12" t="n">
        <x:f>-SUMIFS('Bankbuchungen'!$F$7:$F$590,'Bankbuchungen'!$B$7:$B$590,B37,'Bankbuchungen'!$C$7:$C$590,"&gt;="&amp;A37,'Bankbuchungen'!$C$7:$C$590,"&lt;"&amp;EDATE(A37,1),'Bankbuchungen'!$F$7:$F$590,"&lt;0")</x:f>
        <x:v>2230.18</x:v>
      </x:c>
      <x:c r="F37" s="12" t="n">
        <x:f>C37+D37-E37</x:f>
        <x:v>17518.82</x:v>
      </x:c>
      <x:c r="G37" s="12" t="n">
        <x:v>17518.82</x:v>
      </x:c>
      <x:c r="H37" s="12" t="n">
        <x:f>ROUND(F37-G37,2)</x:f>
        <x:v>0</x:v>
      </x:c>
      <x:c r="I37" s="2" t="str">
        <x:v>02_Konten/GIRO_2026-04.pdf</x:v>
      </x:c>
    </x:row>
    <x:row r="38" ht="22" customHeight="1">
      <x:c r="A38" s="10" t="d">
        <x:v>2026-05-01T12:00:00.000Z</x:v>
      </x:c>
      <x:c r="B38" s="2" t="str">
        <x:v>GIRO</x:v>
      </x:c>
      <x:c r="C38" s="12" t="n">
        <x:f>G37</x:f>
        <x:v>17518.82</x:v>
      </x:c>
      <x:c r="D38" s="12" t="n">
        <x:f>SUMIFS('Bankbuchungen'!$F$7:$F$590,'Bankbuchungen'!$B$7:$B$590,B38,'Bankbuchungen'!$C$7:$C$590,"&gt;="&amp;A38,'Bankbuchungen'!$C$7:$C$590,"&lt;"&amp;EDATE(A38,1),'Bankbuchungen'!$F$7:$F$590,"&gt;0")</x:f>
        <x:v>4005</x:v>
      </x:c>
      <x:c r="E38" s="12" t="n">
        <x:f>-SUMIFS('Bankbuchungen'!$F$7:$F$590,'Bankbuchungen'!$B$7:$B$590,B38,'Bankbuchungen'!$C$7:$C$590,"&gt;="&amp;A38,'Bankbuchungen'!$C$7:$C$590,"&lt;"&amp;EDATE(A38,1),'Bankbuchungen'!$F$7:$F$590,"&lt;0")</x:f>
        <x:v>3082.6800000000003</x:v>
      </x:c>
      <x:c r="F38" s="12" t="n">
        <x:f>C38+D38-E38</x:f>
        <x:v>18441.14</x:v>
      </x:c>
      <x:c r="G38" s="12" t="n">
        <x:v>18441.14</x:v>
      </x:c>
      <x:c r="H38" s="12" t="n">
        <x:f>ROUND(F38-G38,2)</x:f>
        <x:v>0</x:v>
      </x:c>
      <x:c r="I38" s="2" t="str">
        <x:v>02_Konten/GIRO_2026-05.pdf</x:v>
      </x:c>
    </x:row>
    <x:row r="39" ht="22" customHeight="1">
      <x:c r="A39" s="10" t="d">
        <x:v>2026-06-01T12:00:00.000Z</x:v>
      </x:c>
      <x:c r="B39" s="2" t="str">
        <x:v>GIRO</x:v>
      </x:c>
      <x:c r="C39" s="12" t="n">
        <x:f>G38</x:f>
        <x:v>18441.14</x:v>
      </x:c>
      <x:c r="D39" s="12" t="n">
        <x:f>SUMIFS('Bankbuchungen'!$F$7:$F$590,'Bankbuchungen'!$B$7:$B$590,B39,'Bankbuchungen'!$C$7:$C$590,"&gt;="&amp;A39,'Bankbuchungen'!$C$7:$C$590,"&lt;"&amp;EDATE(A39,1),'Bankbuchungen'!$F$7:$F$590,"&gt;0")</x:f>
        <x:v>2505</x:v>
      </x:c>
      <x:c r="E39" s="12" t="n">
        <x:f>-SUMIFS('Bankbuchungen'!$F$7:$F$590,'Bankbuchungen'!$B$7:$B$590,B39,'Bankbuchungen'!$C$7:$C$590,"&gt;="&amp;A39,'Bankbuchungen'!$C$7:$C$590,"&lt;"&amp;EDATE(A39,1),'Bankbuchungen'!$F$7:$F$590,"&lt;0")</x:f>
        <x:v>2782.18</x:v>
      </x:c>
      <x:c r="F39" s="12" t="n">
        <x:f>C39+D39-E39</x:f>
        <x:v>18163.96</x:v>
      </x:c>
      <x:c r="G39" s="12" t="n">
        <x:v>18163.96</x:v>
      </x:c>
      <x:c r="H39" s="12" t="n">
        <x:f>ROUND(F39-G39,2)</x:f>
        <x:v>0</x:v>
      </x:c>
      <x:c r="I39" s="2" t="str">
        <x:v>02_Konten/GIRO_2026-06.pdf</x:v>
      </x:c>
    </x:row>
    <x:row r="40" ht="22" customHeight="1">
      <x:c r="A40" s="10" t="d">
        <x:v>2026-07-01T12:00:00.000Z</x:v>
      </x:c>
      <x:c r="B40" s="2" t="str">
        <x:v>GIRO</x:v>
      </x:c>
      <x:c r="C40" s="12" t="n">
        <x:f>G39</x:f>
        <x:v>18163.96</x:v>
      </x:c>
      <x:c r="D40" s="12" t="n">
        <x:f>SUMIFS('Bankbuchungen'!$F$7:$F$590,'Bankbuchungen'!$B$7:$B$590,B40,'Bankbuchungen'!$C$7:$C$590,"&gt;="&amp;A40,'Bankbuchungen'!$C$7:$C$590,"&lt;"&amp;EDATE(A40,1),'Bankbuchungen'!$F$7:$F$590,"&gt;0")</x:f>
        <x:v>2565</x:v>
      </x:c>
      <x:c r="E40" s="12" t="n">
        <x:f>-SUMIFS('Bankbuchungen'!$F$7:$F$590,'Bankbuchungen'!$B$7:$B$590,B40,'Bankbuchungen'!$C$7:$C$590,"&gt;="&amp;A40,'Bankbuchungen'!$C$7:$C$590,"&lt;"&amp;EDATE(A40,1),'Bankbuchungen'!$F$7:$F$590,"&lt;0")</x:f>
        <x:v>2549.68</x:v>
      </x:c>
      <x:c r="F40" s="12" t="n">
        <x:f>C40+D40-E40</x:f>
        <x:v>18179.28</x:v>
      </x:c>
      <x:c r="G40" s="12" t="n">
        <x:v>18179.28</x:v>
      </x:c>
      <x:c r="H40" s="12" t="n">
        <x:f>ROUND(F40-G40,2)</x:f>
        <x:v>0</x:v>
      </x:c>
      <x:c r="I40" s="2" t="str">
        <x:v>02_Konten/GIRO_2026-07.pdf</x:v>
      </x:c>
    </x:row>
    <x:row r="41" ht="22" customHeight="1">
      <x:c r="A41" s="10" t="d">
        <x:v>2026-08-01T12:00:00.000Z</x:v>
      </x:c>
      <x:c r="B41" s="2" t="str">
        <x:v>GIRO</x:v>
      </x:c>
      <x:c r="C41" s="12" t="n">
        <x:f>G40</x:f>
        <x:v>18179.28</x:v>
      </x:c>
      <x:c r="D41" s="12" t="n">
        <x:f>SUMIFS('Bankbuchungen'!$F$7:$F$590,'Bankbuchungen'!$B$7:$B$590,B41,'Bankbuchungen'!$C$7:$C$590,"&gt;="&amp;A41,'Bankbuchungen'!$C$7:$C$590,"&lt;"&amp;EDATE(A41,1),'Bankbuchungen'!$F$7:$F$590,"&gt;0")</x:f>
        <x:v>2565</x:v>
      </x:c>
      <x:c r="E41" s="12" t="n">
        <x:f>-SUMIFS('Bankbuchungen'!$F$7:$F$590,'Bankbuchungen'!$B$7:$B$590,B41,'Bankbuchungen'!$C$7:$C$590,"&gt;="&amp;A41,'Bankbuchungen'!$C$7:$C$590,"&lt;"&amp;EDATE(A41,1),'Bankbuchungen'!$F$7:$F$590,"&lt;0")</x:f>
        <x:v>2852.18</x:v>
      </x:c>
      <x:c r="F41" s="12" t="n">
        <x:f>C41+D41-E41</x:f>
        <x:v>17892.1</x:v>
      </x:c>
      <x:c r="G41" s="12" t="n">
        <x:v>17892.1</x:v>
      </x:c>
      <x:c r="H41" s="12" t="n">
        <x:f>ROUND(F41-G41,2)</x:f>
        <x:v>0</x:v>
      </x:c>
      <x:c r="I41" s="2" t="str">
        <x:v>02_Konten/GIRO_2026-08.pdf</x:v>
      </x:c>
    </x:row>
    <x:row r="42" ht="22" customHeight="1">
      <x:c r="A42" s="10" t="d">
        <x:v>2026-09-01T12:00:00.000Z</x:v>
      </x:c>
      <x:c r="B42" s="2" t="str">
        <x:v>GIRO</x:v>
      </x:c>
      <x:c r="C42" s="12" t="n">
        <x:f>G41</x:f>
        <x:v>17892.1</x:v>
      </x:c>
      <x:c r="D42" s="12" t="n">
        <x:f>SUMIFS('Bankbuchungen'!$F$7:$F$590,'Bankbuchungen'!$B$7:$B$590,B42,'Bankbuchungen'!$C$7:$C$590,"&gt;="&amp;A42,'Bankbuchungen'!$C$7:$C$590,"&lt;"&amp;EDATE(A42,1),'Bankbuchungen'!$F$7:$F$590,"&gt;0")</x:f>
        <x:v>2565</x:v>
      </x:c>
      <x:c r="E42" s="12" t="n">
        <x:f>-SUMIFS('Bankbuchungen'!$F$7:$F$590,'Bankbuchungen'!$B$7:$B$590,B42,'Bankbuchungen'!$C$7:$C$590,"&gt;="&amp;A42,'Bankbuchungen'!$C$7:$C$590,"&lt;"&amp;EDATE(A42,1),'Bankbuchungen'!$F$7:$F$590,"&lt;0")</x:f>
        <x:v>2878.68</x:v>
      </x:c>
      <x:c r="F42" s="12" t="n">
        <x:f>C42+D42-E42</x:f>
        <x:v>17578.42</x:v>
      </x:c>
      <x:c r="G42" s="12" t="n">
        <x:v>17578.42</x:v>
      </x:c>
      <x:c r="H42" s="12" t="n">
        <x:f>ROUND(F42-G42,2)</x:f>
        <x:v>0</x:v>
      </x:c>
      <x:c r="I42" s="2" t="str">
        <x:v>02_Konten/GIRO_2026-09.pdf</x:v>
      </x:c>
    </x:row>
    <x:row r="43" ht="22" customHeight="1">
      <x:c r="A43" s="10" t="d">
        <x:v>2023-10-01T12:00:00.000Z</x:v>
      </x:c>
      <x:c r="B43" s="2" t="str">
        <x:v>SPAR</x:v>
      </x:c>
      <x:c r="C43" s="12" t="n">
        <x:v>28000</x:v>
      </x:c>
      <x:c r="D43" s="12" t="n">
        <x:f>SUMIFS('Bankbuchungen'!$F$7:$F$590,'Bankbuchungen'!$B$7:$B$590,B43,'Bankbuchungen'!$C$7:$C$590,"&gt;="&amp;A43,'Bankbuchungen'!$C$7:$C$590,"&lt;"&amp;EDATE(A43,1),'Bankbuchungen'!$F$7:$F$590,"&gt;0")</x:f>
        <x:v>0</x:v>
      </x:c>
      <x:c r="E43" s="12" t="n">
        <x:f>-SUMIFS('Bankbuchungen'!$F$7:$F$590,'Bankbuchungen'!$B$7:$B$590,B43,'Bankbuchungen'!$C$7:$C$590,"&gt;="&amp;A43,'Bankbuchungen'!$C$7:$C$590,"&lt;"&amp;EDATE(A43,1),'Bankbuchungen'!$F$7:$F$590,"&lt;0")</x:f>
        <x:v>0</x:v>
      </x:c>
      <x:c r="F43" s="12" t="n">
        <x:f>C43+D43-E43</x:f>
        <x:v>28000</x:v>
      </x:c>
      <x:c r="G43" s="12" t="n">
        <x:v>28000</x:v>
      </x:c>
      <x:c r="H43" s="12" t="n">
        <x:f>ROUND(F43-G43,2)</x:f>
        <x:v>0</x:v>
      </x:c>
      <x:c r="I43" s="2" t="str">
        <x:v>02_Konten/SPAR_2023-10.pdf</x:v>
      </x:c>
    </x:row>
    <x:row r="44" ht="22" customHeight="1">
      <x:c r="A44" s="10" t="d">
        <x:v>2023-11-01T12:00:00.000Z</x:v>
      </x:c>
      <x:c r="B44" s="2" t="str">
        <x:v>SPAR</x:v>
      </x:c>
      <x:c r="C44" s="12" t="n">
        <x:f>G43</x:f>
        <x:v>28000</x:v>
      </x:c>
      <x:c r="D44" s="12" t="n">
        <x:f>SUMIFS('Bankbuchungen'!$F$7:$F$590,'Bankbuchungen'!$B$7:$B$590,B44,'Bankbuchungen'!$C$7:$C$590,"&gt;="&amp;A44,'Bankbuchungen'!$C$7:$C$590,"&lt;"&amp;EDATE(A44,1),'Bankbuchungen'!$F$7:$F$590,"&gt;0")</x:f>
        <x:v>0</x:v>
      </x:c>
      <x:c r="E44" s="12" t="n">
        <x:f>-SUMIFS('Bankbuchungen'!$F$7:$F$590,'Bankbuchungen'!$B$7:$B$590,B44,'Bankbuchungen'!$C$7:$C$590,"&gt;="&amp;A44,'Bankbuchungen'!$C$7:$C$590,"&lt;"&amp;EDATE(A44,1),'Bankbuchungen'!$F$7:$F$590,"&lt;0")</x:f>
        <x:v>0</x:v>
      </x:c>
      <x:c r="F44" s="12" t="n">
        <x:f>C44+D44-E44</x:f>
        <x:v>28000</x:v>
      </x:c>
      <x:c r="G44" s="12" t="n">
        <x:v>28000</x:v>
      </x:c>
      <x:c r="H44" s="12" t="n">
        <x:f>ROUND(F44-G44,2)</x:f>
        <x:v>0</x:v>
      </x:c>
      <x:c r="I44" s="2" t="str">
        <x:v>02_Konten/SPAR_2023-11.pdf</x:v>
      </x:c>
    </x:row>
    <x:row r="45" ht="22" customHeight="1">
      <x:c r="A45" s="10" t="d">
        <x:v>2023-12-01T12:00:00.000Z</x:v>
      </x:c>
      <x:c r="B45" s="2" t="str">
        <x:v>SPAR</x:v>
      </x:c>
      <x:c r="C45" s="12" t="n">
        <x:f>G44</x:f>
        <x:v>28000</x:v>
      </x:c>
      <x:c r="D45" s="12" t="n">
        <x:f>SUMIFS('Bankbuchungen'!$F$7:$F$590,'Bankbuchungen'!$B$7:$B$590,B45,'Bankbuchungen'!$C$7:$C$590,"&gt;="&amp;A45,'Bankbuchungen'!$C$7:$C$590,"&lt;"&amp;EDATE(A45,1),'Bankbuchungen'!$F$7:$F$590,"&gt;0")</x:f>
        <x:v>340</x:v>
      </x:c>
      <x:c r="E45" s="12" t="n">
        <x:f>-SUMIFS('Bankbuchungen'!$F$7:$F$590,'Bankbuchungen'!$B$7:$B$590,B45,'Bankbuchungen'!$C$7:$C$590,"&gt;="&amp;A45,'Bankbuchungen'!$C$7:$C$590,"&lt;"&amp;EDATE(A45,1),'Bankbuchungen'!$F$7:$F$590,"&lt;0")</x:f>
        <x:v>0</x:v>
      </x:c>
      <x:c r="F45" s="12" t="n">
        <x:f>C45+D45-E45</x:f>
        <x:v>28340</x:v>
      </x:c>
      <x:c r="G45" s="12" t="n">
        <x:v>28340</x:v>
      </x:c>
      <x:c r="H45" s="12" t="n">
        <x:f>ROUND(F45-G45,2)</x:f>
        <x:v>0</x:v>
      </x:c>
      <x:c r="I45" s="2" t="str">
        <x:v>02_Konten/SPAR_2023-12.pdf</x:v>
      </x:c>
    </x:row>
    <x:row r="46" ht="22" customHeight="1">
      <x:c r="A46" s="10" t="d">
        <x:v>2024-01-01T12:00:00.000Z</x:v>
      </x:c>
      <x:c r="B46" s="2" t="str">
        <x:v>SPAR</x:v>
      </x:c>
      <x:c r="C46" s="12" t="n">
        <x:f>G45</x:f>
        <x:v>28340</x:v>
      </x:c>
      <x:c r="D46" s="12" t="n">
        <x:f>SUMIFS('Bankbuchungen'!$F$7:$F$590,'Bankbuchungen'!$B$7:$B$590,B46,'Bankbuchungen'!$C$7:$C$590,"&gt;="&amp;A46,'Bankbuchungen'!$C$7:$C$590,"&lt;"&amp;EDATE(A46,1),'Bankbuchungen'!$F$7:$F$590,"&gt;0")</x:f>
        <x:v>0</x:v>
      </x:c>
      <x:c r="E46" s="12" t="n">
        <x:f>-SUMIFS('Bankbuchungen'!$F$7:$F$590,'Bankbuchungen'!$B$7:$B$590,B46,'Bankbuchungen'!$C$7:$C$590,"&gt;="&amp;A46,'Bankbuchungen'!$C$7:$C$590,"&lt;"&amp;EDATE(A46,1),'Bankbuchungen'!$F$7:$F$590,"&lt;0")</x:f>
        <x:v>0</x:v>
      </x:c>
      <x:c r="F46" s="12" t="n">
        <x:f>C46+D46-E46</x:f>
        <x:v>28340</x:v>
      </x:c>
      <x:c r="G46" s="12" t="n">
        <x:v>28340</x:v>
      </x:c>
      <x:c r="H46" s="12" t="n">
        <x:f>ROUND(F46-G46,2)</x:f>
        <x:v>0</x:v>
      </x:c>
      <x:c r="I46" s="2" t="str">
        <x:v>02_Konten/SPAR_2024-01.pdf</x:v>
      </x:c>
    </x:row>
    <x:row r="47" ht="22" customHeight="1">
      <x:c r="A47" s="10" t="d">
        <x:v>2024-02-01T12:00:00.000Z</x:v>
      </x:c>
      <x:c r="B47" s="2" t="str">
        <x:v>SPAR</x:v>
      </x:c>
      <x:c r="C47" s="12" t="n">
        <x:f>G46</x:f>
        <x:v>28340</x:v>
      </x:c>
      <x:c r="D47" s="12" t="n">
        <x:f>SUMIFS('Bankbuchungen'!$F$7:$F$590,'Bankbuchungen'!$B$7:$B$590,B47,'Bankbuchungen'!$C$7:$C$590,"&gt;="&amp;A47,'Bankbuchungen'!$C$7:$C$590,"&lt;"&amp;EDATE(A47,1),'Bankbuchungen'!$F$7:$F$590,"&gt;0")</x:f>
        <x:v>0</x:v>
      </x:c>
      <x:c r="E47" s="12" t="n">
        <x:f>-SUMIFS('Bankbuchungen'!$F$7:$F$590,'Bankbuchungen'!$B$7:$B$590,B47,'Bankbuchungen'!$C$7:$C$590,"&gt;="&amp;A47,'Bankbuchungen'!$C$7:$C$590,"&lt;"&amp;EDATE(A47,1),'Bankbuchungen'!$F$7:$F$590,"&lt;0")</x:f>
        <x:v>0</x:v>
      </x:c>
      <x:c r="F47" s="12" t="n">
        <x:f>C47+D47-E47</x:f>
        <x:v>28340</x:v>
      </x:c>
      <x:c r="G47" s="12" t="n">
        <x:v>28340</x:v>
      </x:c>
      <x:c r="H47" s="12" t="n">
        <x:f>ROUND(F47-G47,2)</x:f>
        <x:v>0</x:v>
      </x:c>
      <x:c r="I47" s="2" t="str">
        <x:v>02_Konten/SPAR_2024-02.pdf</x:v>
      </x:c>
    </x:row>
    <x:row r="48" ht="22" customHeight="1">
      <x:c r="A48" s="10" t="d">
        <x:v>2024-03-01T12:00:00.000Z</x:v>
      </x:c>
      <x:c r="B48" s="2" t="str">
        <x:v>SPAR</x:v>
      </x:c>
      <x:c r="C48" s="12" t="n">
        <x:f>G47</x:f>
        <x:v>28340</x:v>
      </x:c>
      <x:c r="D48" s="12" t="n">
        <x:f>SUMIFS('Bankbuchungen'!$F$7:$F$590,'Bankbuchungen'!$B$7:$B$590,B48,'Bankbuchungen'!$C$7:$C$590,"&gt;="&amp;A48,'Bankbuchungen'!$C$7:$C$590,"&lt;"&amp;EDATE(A48,1),'Bankbuchungen'!$F$7:$F$590,"&gt;0")</x:f>
        <x:v>250</x:v>
      </x:c>
      <x:c r="E48" s="12" t="n">
        <x:f>-SUMIFS('Bankbuchungen'!$F$7:$F$590,'Bankbuchungen'!$B$7:$B$590,B48,'Bankbuchungen'!$C$7:$C$590,"&gt;="&amp;A48,'Bankbuchungen'!$C$7:$C$590,"&lt;"&amp;EDATE(A48,1),'Bankbuchungen'!$F$7:$F$590,"&lt;0")</x:f>
        <x:v>0</x:v>
      </x:c>
      <x:c r="F48" s="12" t="n">
        <x:f>C48+D48-E48</x:f>
        <x:v>28590</x:v>
      </x:c>
      <x:c r="G48" s="12" t="n">
        <x:v>28590</x:v>
      </x:c>
      <x:c r="H48" s="12" t="n">
        <x:f>ROUND(F48-G48,2)</x:f>
        <x:v>0</x:v>
      </x:c>
      <x:c r="I48" s="2" t="str">
        <x:v>02_Konten/SPAR_2024-03.pdf</x:v>
      </x:c>
    </x:row>
    <x:row r="49" ht="22" customHeight="1">
      <x:c r="A49" s="10" t="d">
        <x:v>2024-04-01T12:00:00.000Z</x:v>
      </x:c>
      <x:c r="B49" s="2" t="str">
        <x:v>SPAR</x:v>
      </x:c>
      <x:c r="C49" s="12" t="n">
        <x:f>G48</x:f>
        <x:v>28590</x:v>
      </x:c>
      <x:c r="D49" s="12" t="n">
        <x:f>SUMIFS('Bankbuchungen'!$F$7:$F$590,'Bankbuchungen'!$B$7:$B$590,B49,'Bankbuchungen'!$C$7:$C$590,"&gt;="&amp;A49,'Bankbuchungen'!$C$7:$C$590,"&lt;"&amp;EDATE(A49,1),'Bankbuchungen'!$F$7:$F$590,"&gt;0")</x:f>
        <x:v>0</x:v>
      </x:c>
      <x:c r="E49" s="12" t="n">
        <x:f>-SUMIFS('Bankbuchungen'!$F$7:$F$590,'Bankbuchungen'!$B$7:$B$590,B49,'Bankbuchungen'!$C$7:$C$590,"&gt;="&amp;A49,'Bankbuchungen'!$C$7:$C$590,"&lt;"&amp;EDATE(A49,1),'Bankbuchungen'!$F$7:$F$590,"&lt;0")</x:f>
        <x:v>0</x:v>
      </x:c>
      <x:c r="F49" s="12" t="n">
        <x:f>C49+D49-E49</x:f>
        <x:v>28590</x:v>
      </x:c>
      <x:c r="G49" s="12" t="n">
        <x:v>28590</x:v>
      </x:c>
      <x:c r="H49" s="12" t="n">
        <x:f>ROUND(F49-G49,2)</x:f>
        <x:v>0</x:v>
      </x:c>
      <x:c r="I49" s="2" t="str">
        <x:v>02_Konten/SPAR_2024-04.pdf</x:v>
      </x:c>
    </x:row>
    <x:row r="50" ht="22" customHeight="1">
      <x:c r="A50" s="10" t="d">
        <x:v>2024-05-01T12:00:00.000Z</x:v>
      </x:c>
      <x:c r="B50" s="2" t="str">
        <x:v>SPAR</x:v>
      </x:c>
      <x:c r="C50" s="12" t="n">
        <x:f>G49</x:f>
        <x:v>28590</x:v>
      </x:c>
      <x:c r="D50" s="12" t="n">
        <x:f>SUMIFS('Bankbuchungen'!$F$7:$F$590,'Bankbuchungen'!$B$7:$B$590,B50,'Bankbuchungen'!$C$7:$C$590,"&gt;="&amp;A50,'Bankbuchungen'!$C$7:$C$590,"&lt;"&amp;EDATE(A50,1),'Bankbuchungen'!$F$7:$F$590,"&gt;0")</x:f>
        <x:v>0</x:v>
      </x:c>
      <x:c r="E50" s="12" t="n">
        <x:f>-SUMIFS('Bankbuchungen'!$F$7:$F$590,'Bankbuchungen'!$B$7:$B$590,B50,'Bankbuchungen'!$C$7:$C$590,"&gt;="&amp;A50,'Bankbuchungen'!$C$7:$C$590,"&lt;"&amp;EDATE(A50,1),'Bankbuchungen'!$F$7:$F$590,"&lt;0")</x:f>
        <x:v>3500</x:v>
      </x:c>
      <x:c r="F50" s="12" t="n">
        <x:f>C50+D50-E50</x:f>
        <x:v>25090</x:v>
      </x:c>
      <x:c r="G50" s="12" t="n">
        <x:v>25090</x:v>
      </x:c>
      <x:c r="H50" s="12" t="n">
        <x:f>ROUND(F50-G50,2)</x:f>
        <x:v>0</x:v>
      </x:c>
      <x:c r="I50" s="2" t="str">
        <x:v>02_Konten/SPAR_2024-05.pdf</x:v>
      </x:c>
    </x:row>
    <x:row r="51" ht="22" customHeight="1">
      <x:c r="A51" s="10" t="d">
        <x:v>2024-06-01T12:00:00.000Z</x:v>
      </x:c>
      <x:c r="B51" s="2" t="str">
        <x:v>SPAR</x:v>
      </x:c>
      <x:c r="C51" s="12" t="n">
        <x:f>G50</x:f>
        <x:v>25090</x:v>
      </x:c>
      <x:c r="D51" s="12" t="n">
        <x:f>SUMIFS('Bankbuchungen'!$F$7:$F$590,'Bankbuchungen'!$B$7:$B$590,B51,'Bankbuchungen'!$C$7:$C$590,"&gt;="&amp;A51,'Bankbuchungen'!$C$7:$C$590,"&lt;"&amp;EDATE(A51,1),'Bankbuchungen'!$F$7:$F$590,"&gt;0")</x:f>
        <x:v>250</x:v>
      </x:c>
      <x:c r="E51" s="12" t="n">
        <x:f>-SUMIFS('Bankbuchungen'!$F$7:$F$590,'Bankbuchungen'!$B$7:$B$590,B51,'Bankbuchungen'!$C$7:$C$590,"&gt;="&amp;A51,'Bankbuchungen'!$C$7:$C$590,"&lt;"&amp;EDATE(A51,1),'Bankbuchungen'!$F$7:$F$590,"&lt;0")</x:f>
        <x:v>0</x:v>
      </x:c>
      <x:c r="F51" s="12" t="n">
        <x:f>C51+D51-E51</x:f>
        <x:v>25340</x:v>
      </x:c>
      <x:c r="G51" s="12" t="n">
        <x:v>25340</x:v>
      </x:c>
      <x:c r="H51" s="12" t="n">
        <x:f>ROUND(F51-G51,2)</x:f>
        <x:v>0</x:v>
      </x:c>
      <x:c r="I51" s="2" t="str">
        <x:v>02_Konten/SPAR_2024-06.pdf</x:v>
      </x:c>
    </x:row>
    <x:row r="52" ht="22" customHeight="1">
      <x:c r="A52" s="10" t="d">
        <x:v>2024-07-01T12:00:00.000Z</x:v>
      </x:c>
      <x:c r="B52" s="2" t="str">
        <x:v>SPAR</x:v>
      </x:c>
      <x:c r="C52" s="12" t="n">
        <x:f>G51</x:f>
        <x:v>25340</x:v>
      </x:c>
      <x:c r="D52" s="12" t="n">
        <x:f>SUMIFS('Bankbuchungen'!$F$7:$F$590,'Bankbuchungen'!$B$7:$B$590,B52,'Bankbuchungen'!$C$7:$C$590,"&gt;="&amp;A52,'Bankbuchungen'!$C$7:$C$590,"&lt;"&amp;EDATE(A52,1),'Bankbuchungen'!$F$7:$F$590,"&gt;0")</x:f>
        <x:v>0</x:v>
      </x:c>
      <x:c r="E52" s="12" t="n">
        <x:f>-SUMIFS('Bankbuchungen'!$F$7:$F$590,'Bankbuchungen'!$B$7:$B$590,B52,'Bankbuchungen'!$C$7:$C$590,"&gt;="&amp;A52,'Bankbuchungen'!$C$7:$C$590,"&lt;"&amp;EDATE(A52,1),'Bankbuchungen'!$F$7:$F$590,"&lt;0")</x:f>
        <x:v>0</x:v>
      </x:c>
      <x:c r="F52" s="12" t="n">
        <x:f>C52+D52-E52</x:f>
        <x:v>25340</x:v>
      </x:c>
      <x:c r="G52" s="12" t="n">
        <x:v>25340</x:v>
      </x:c>
      <x:c r="H52" s="12" t="n">
        <x:f>ROUND(F52-G52,2)</x:f>
        <x:v>0</x:v>
      </x:c>
      <x:c r="I52" s="2" t="str">
        <x:v>02_Konten/SPAR_2024-07.pdf</x:v>
      </x:c>
    </x:row>
    <x:row r="53" ht="22" customHeight="1">
      <x:c r="A53" s="10" t="d">
        <x:v>2024-08-01T12:00:00.000Z</x:v>
      </x:c>
      <x:c r="B53" s="2" t="str">
        <x:v>SPAR</x:v>
      </x:c>
      <x:c r="C53" s="12" t="n">
        <x:f>G52</x:f>
        <x:v>25340</x:v>
      </x:c>
      <x:c r="D53" s="12" t="n">
        <x:f>SUMIFS('Bankbuchungen'!$F$7:$F$590,'Bankbuchungen'!$B$7:$B$590,B53,'Bankbuchungen'!$C$7:$C$590,"&gt;="&amp;A53,'Bankbuchungen'!$C$7:$C$590,"&lt;"&amp;EDATE(A53,1),'Bankbuchungen'!$F$7:$F$590,"&gt;0")</x:f>
        <x:v>0</x:v>
      </x:c>
      <x:c r="E53" s="12" t="n">
        <x:f>-SUMIFS('Bankbuchungen'!$F$7:$F$590,'Bankbuchungen'!$B$7:$B$590,B53,'Bankbuchungen'!$C$7:$C$590,"&gt;="&amp;A53,'Bankbuchungen'!$C$7:$C$590,"&lt;"&amp;EDATE(A53,1),'Bankbuchungen'!$F$7:$F$590,"&lt;0")</x:f>
        <x:v>0</x:v>
      </x:c>
      <x:c r="F53" s="12" t="n">
        <x:f>C53+D53-E53</x:f>
        <x:v>25340</x:v>
      </x:c>
      <x:c r="G53" s="12" t="n">
        <x:v>25340</x:v>
      </x:c>
      <x:c r="H53" s="12" t="n">
        <x:f>ROUND(F53-G53,2)</x:f>
        <x:v>0</x:v>
      </x:c>
      <x:c r="I53" s="2" t="str">
        <x:v>02_Konten/SPAR_2024-08.pdf</x:v>
      </x:c>
    </x:row>
    <x:row r="54" ht="22" customHeight="1">
      <x:c r="A54" s="10" t="d">
        <x:v>2024-09-01T12:00:00.000Z</x:v>
      </x:c>
      <x:c r="B54" s="2" t="str">
        <x:v>SPAR</x:v>
      </x:c>
      <x:c r="C54" s="12" t="n">
        <x:f>G53</x:f>
        <x:v>25340</x:v>
      </x:c>
      <x:c r="D54" s="12" t="n">
        <x:f>SUMIFS('Bankbuchungen'!$F$7:$F$590,'Bankbuchungen'!$B$7:$B$590,B54,'Bankbuchungen'!$C$7:$C$590,"&gt;="&amp;A54,'Bankbuchungen'!$C$7:$C$590,"&lt;"&amp;EDATE(A54,1),'Bankbuchungen'!$F$7:$F$590,"&gt;0")</x:f>
        <x:v>250</x:v>
      </x:c>
      <x:c r="E54" s="12" t="n">
        <x:f>-SUMIFS('Bankbuchungen'!$F$7:$F$590,'Bankbuchungen'!$B$7:$B$590,B54,'Bankbuchungen'!$C$7:$C$590,"&gt;="&amp;A54,'Bankbuchungen'!$C$7:$C$590,"&lt;"&amp;EDATE(A54,1),'Bankbuchungen'!$F$7:$F$590,"&lt;0")</x:f>
        <x:v>0</x:v>
      </x:c>
      <x:c r="F54" s="12" t="n">
        <x:f>C54+D54-E54</x:f>
        <x:v>25590</x:v>
      </x:c>
      <x:c r="G54" s="12" t="n">
        <x:v>25590</x:v>
      </x:c>
      <x:c r="H54" s="12" t="n">
        <x:f>ROUND(F54-G54,2)</x:f>
        <x:v>0</x:v>
      </x:c>
      <x:c r="I54" s="2" t="str">
        <x:v>02_Konten/SPAR_2024-09.pdf</x:v>
      </x:c>
    </x:row>
    <x:row r="55" ht="22" customHeight="1">
      <x:c r="A55" s="10" t="d">
        <x:v>2024-10-01T12:00:00.000Z</x:v>
      </x:c>
      <x:c r="B55" s="2" t="str">
        <x:v>SPAR</x:v>
      </x:c>
      <x:c r="C55" s="12" t="n">
        <x:f>G54</x:f>
        <x:v>25590</x:v>
      </x:c>
      <x:c r="D55" s="12" t="n">
        <x:f>SUMIFS('Bankbuchungen'!$F$7:$F$590,'Bankbuchungen'!$B$7:$B$590,B55,'Bankbuchungen'!$C$7:$C$590,"&gt;="&amp;A55,'Bankbuchungen'!$C$7:$C$590,"&lt;"&amp;EDATE(A55,1),'Bankbuchungen'!$F$7:$F$590,"&gt;0")</x:f>
        <x:v>0</x:v>
      </x:c>
      <x:c r="E55" s="12" t="n">
        <x:f>-SUMIFS('Bankbuchungen'!$F$7:$F$590,'Bankbuchungen'!$B$7:$B$590,B55,'Bankbuchungen'!$C$7:$C$590,"&gt;="&amp;A55,'Bankbuchungen'!$C$7:$C$590,"&lt;"&amp;EDATE(A55,1),'Bankbuchungen'!$F$7:$F$590,"&lt;0")</x:f>
        <x:v>0</x:v>
      </x:c>
      <x:c r="F55" s="12" t="n">
        <x:f>C55+D55-E55</x:f>
        <x:v>25590</x:v>
      </x:c>
      <x:c r="G55" s="12" t="n">
        <x:v>25590</x:v>
      </x:c>
      <x:c r="H55" s="12" t="n">
        <x:f>ROUND(F55-G55,2)</x:f>
        <x:v>0</x:v>
      </x:c>
      <x:c r="I55" s="2" t="str">
        <x:v>02_Konten/SPAR_2024-10.pdf</x:v>
      </x:c>
    </x:row>
    <x:row r="56" ht="22" customHeight="1">
      <x:c r="A56" s="10" t="d">
        <x:v>2024-11-01T12:00:00.000Z</x:v>
      </x:c>
      <x:c r="B56" s="2" t="str">
        <x:v>SPAR</x:v>
      </x:c>
      <x:c r="C56" s="12" t="n">
        <x:f>G55</x:f>
        <x:v>25590</x:v>
      </x:c>
      <x:c r="D56" s="12" t="n">
        <x:f>SUMIFS('Bankbuchungen'!$F$7:$F$590,'Bankbuchungen'!$B$7:$B$590,B56,'Bankbuchungen'!$C$7:$C$590,"&gt;="&amp;A56,'Bankbuchungen'!$C$7:$C$590,"&lt;"&amp;EDATE(A56,1),'Bankbuchungen'!$F$7:$F$590,"&gt;0")</x:f>
        <x:v>0</x:v>
      </x:c>
      <x:c r="E56" s="12" t="n">
        <x:f>-SUMIFS('Bankbuchungen'!$F$7:$F$590,'Bankbuchungen'!$B$7:$B$590,B56,'Bankbuchungen'!$C$7:$C$590,"&gt;="&amp;A56,'Bankbuchungen'!$C$7:$C$590,"&lt;"&amp;EDATE(A56,1),'Bankbuchungen'!$F$7:$F$590,"&lt;0")</x:f>
        <x:v>0</x:v>
      </x:c>
      <x:c r="F56" s="12" t="n">
        <x:f>C56+D56-E56</x:f>
        <x:v>25590</x:v>
      </x:c>
      <x:c r="G56" s="12" t="n">
        <x:v>25590</x:v>
      </x:c>
      <x:c r="H56" s="12" t="n">
        <x:f>ROUND(F56-G56,2)</x:f>
        <x:v>0</x:v>
      </x:c>
      <x:c r="I56" s="2" t="str">
        <x:v>02_Konten/SPAR_2024-11.pdf</x:v>
      </x:c>
    </x:row>
    <x:row r="57" ht="22" customHeight="1">
      <x:c r="A57" s="10" t="d">
        <x:v>2024-12-01T12:00:00.000Z</x:v>
      </x:c>
      <x:c r="B57" s="2" t="str">
        <x:v>SPAR</x:v>
      </x:c>
      <x:c r="C57" s="12" t="n">
        <x:f>G56</x:f>
        <x:v>25590</x:v>
      </x:c>
      <x:c r="D57" s="12" t="n">
        <x:f>SUMIFS('Bankbuchungen'!$F$7:$F$590,'Bankbuchungen'!$B$7:$B$590,B57,'Bankbuchungen'!$C$7:$C$590,"&gt;="&amp;A57,'Bankbuchungen'!$C$7:$C$590,"&lt;"&amp;EDATE(A57,1),'Bankbuchungen'!$F$7:$F$590,"&gt;0")</x:f>
        <x:v>352.5</x:v>
      </x:c>
      <x:c r="E57" s="12" t="n">
        <x:f>-SUMIFS('Bankbuchungen'!$F$7:$F$590,'Bankbuchungen'!$B$7:$B$590,B57,'Bankbuchungen'!$C$7:$C$590,"&gt;="&amp;A57,'Bankbuchungen'!$C$7:$C$590,"&lt;"&amp;EDATE(A57,1),'Bankbuchungen'!$F$7:$F$590,"&lt;0")</x:f>
        <x:v>0</x:v>
      </x:c>
      <x:c r="F57" s="12" t="n">
        <x:f>C57+D57-E57</x:f>
        <x:v>25942.5</x:v>
      </x:c>
      <x:c r="G57" s="12" t="n">
        <x:v>25942.5</x:v>
      </x:c>
      <x:c r="H57" s="12" t="n">
        <x:f>ROUND(F57-G57,2)</x:f>
        <x:v>0</x:v>
      </x:c>
      <x:c r="I57" s="2" t="str">
        <x:v>02_Konten/SPAR_2024-12.pdf</x:v>
      </x:c>
    </x:row>
    <x:row r="58" ht="22" customHeight="1">
      <x:c r="A58" s="10" t="d">
        <x:v>2025-01-01T12:00:00.000Z</x:v>
      </x:c>
      <x:c r="B58" s="2" t="str">
        <x:v>SPAR</x:v>
      </x:c>
      <x:c r="C58" s="12" t="n">
        <x:f>G57</x:f>
        <x:v>25942.5</x:v>
      </x:c>
      <x:c r="D58" s="12" t="n">
        <x:f>SUMIFS('Bankbuchungen'!$F$7:$F$590,'Bankbuchungen'!$B$7:$B$590,B58,'Bankbuchungen'!$C$7:$C$590,"&gt;="&amp;A58,'Bankbuchungen'!$C$7:$C$590,"&lt;"&amp;EDATE(A58,1),'Bankbuchungen'!$F$7:$F$590,"&gt;0")</x:f>
        <x:v>0</x:v>
      </x:c>
      <x:c r="E58" s="12" t="n">
        <x:f>-SUMIFS('Bankbuchungen'!$F$7:$F$590,'Bankbuchungen'!$B$7:$B$590,B58,'Bankbuchungen'!$C$7:$C$590,"&gt;="&amp;A58,'Bankbuchungen'!$C$7:$C$590,"&lt;"&amp;EDATE(A58,1),'Bankbuchungen'!$F$7:$F$590,"&lt;0")</x:f>
        <x:v>0</x:v>
      </x:c>
      <x:c r="F58" s="12" t="n">
        <x:f>C58+D58-E58</x:f>
        <x:v>25942.5</x:v>
      </x:c>
      <x:c r="G58" s="12" t="n">
        <x:v>25942.5</x:v>
      </x:c>
      <x:c r="H58" s="12" t="n">
        <x:f>ROUND(F58-G58,2)</x:f>
        <x:v>0</x:v>
      </x:c>
      <x:c r="I58" s="2" t="str">
        <x:v>02_Konten/SPAR_2025-01.pdf</x:v>
      </x:c>
    </x:row>
    <x:row r="59" ht="22" customHeight="1">
      <x:c r="A59" s="10" t="d">
        <x:v>2025-02-01T12:00:00.000Z</x:v>
      </x:c>
      <x:c r="B59" s="2" t="str">
        <x:v>SPAR</x:v>
      </x:c>
      <x:c r="C59" s="12" t="n">
        <x:f>G58</x:f>
        <x:v>25942.5</x:v>
      </x:c>
      <x:c r="D59" s="12" t="n">
        <x:f>SUMIFS('Bankbuchungen'!$F$7:$F$590,'Bankbuchungen'!$B$7:$B$590,B59,'Bankbuchungen'!$C$7:$C$590,"&gt;="&amp;A59,'Bankbuchungen'!$C$7:$C$590,"&lt;"&amp;EDATE(A59,1),'Bankbuchungen'!$F$7:$F$590,"&gt;0")</x:f>
        <x:v>0</x:v>
      </x:c>
      <x:c r="E59" s="12" t="n">
        <x:f>-SUMIFS('Bankbuchungen'!$F$7:$F$590,'Bankbuchungen'!$B$7:$B$590,B59,'Bankbuchungen'!$C$7:$C$590,"&gt;="&amp;A59,'Bankbuchungen'!$C$7:$C$590,"&lt;"&amp;EDATE(A59,1),'Bankbuchungen'!$F$7:$F$590,"&lt;0")</x:f>
        <x:v>0</x:v>
      </x:c>
      <x:c r="F59" s="12" t="n">
        <x:f>C59+D59-E59</x:f>
        <x:v>25942.5</x:v>
      </x:c>
      <x:c r="G59" s="12" t="n">
        <x:v>25942.5</x:v>
      </x:c>
      <x:c r="H59" s="12" t="n">
        <x:f>ROUND(F59-G59,2)</x:f>
        <x:v>0</x:v>
      </x:c>
      <x:c r="I59" s="2" t="str">
        <x:v>02_Konten/SPAR_2025-02.pdf</x:v>
      </x:c>
    </x:row>
    <x:row r="60" ht="22" customHeight="1">
      <x:c r="A60" s="10" t="d">
        <x:v>2025-03-01T12:00:00.000Z</x:v>
      </x:c>
      <x:c r="B60" s="2" t="str">
        <x:v>SPAR</x:v>
      </x:c>
      <x:c r="C60" s="12" t="n">
        <x:f>G59</x:f>
        <x:v>25942.5</x:v>
      </x:c>
      <x:c r="D60" s="12" t="n">
        <x:f>SUMIFS('Bankbuchungen'!$F$7:$F$590,'Bankbuchungen'!$B$7:$B$590,B60,'Bankbuchungen'!$C$7:$C$590,"&gt;="&amp;A60,'Bankbuchungen'!$C$7:$C$590,"&lt;"&amp;EDATE(A60,1),'Bankbuchungen'!$F$7:$F$590,"&gt;0")</x:f>
        <x:v>250</x:v>
      </x:c>
      <x:c r="E60" s="12" t="n">
        <x:f>-SUMIFS('Bankbuchungen'!$F$7:$F$590,'Bankbuchungen'!$B$7:$B$590,B60,'Bankbuchungen'!$C$7:$C$590,"&gt;="&amp;A60,'Bankbuchungen'!$C$7:$C$590,"&lt;"&amp;EDATE(A60,1),'Bankbuchungen'!$F$7:$F$590,"&lt;0")</x:f>
        <x:v>0</x:v>
      </x:c>
      <x:c r="F60" s="12" t="n">
        <x:f>C60+D60-E60</x:f>
        <x:v>26192.5</x:v>
      </x:c>
      <x:c r="G60" s="12" t="n">
        <x:v>26192.5</x:v>
      </x:c>
      <x:c r="H60" s="12" t="n">
        <x:f>ROUND(F60-G60,2)</x:f>
        <x:v>0</x:v>
      </x:c>
      <x:c r="I60" s="2" t="str">
        <x:v>02_Konten/SPAR_2025-03.pdf</x:v>
      </x:c>
    </x:row>
    <x:row r="61" ht="22" customHeight="1">
      <x:c r="A61" s="10" t="d">
        <x:v>2025-04-01T12:00:00.000Z</x:v>
      </x:c>
      <x:c r="B61" s="2" t="str">
        <x:v>SPAR</x:v>
      </x:c>
      <x:c r="C61" s="12" t="n">
        <x:f>G60</x:f>
        <x:v>26192.5</x:v>
      </x:c>
      <x:c r="D61" s="12" t="n">
        <x:f>SUMIFS('Bankbuchungen'!$F$7:$F$590,'Bankbuchungen'!$B$7:$B$590,B61,'Bankbuchungen'!$C$7:$C$590,"&gt;="&amp;A61,'Bankbuchungen'!$C$7:$C$590,"&lt;"&amp;EDATE(A61,1),'Bankbuchungen'!$F$7:$F$590,"&gt;0")</x:f>
        <x:v>0</x:v>
      </x:c>
      <x:c r="E61" s="12" t="n">
        <x:f>-SUMIFS('Bankbuchungen'!$F$7:$F$590,'Bankbuchungen'!$B$7:$B$590,B61,'Bankbuchungen'!$C$7:$C$590,"&gt;="&amp;A61,'Bankbuchungen'!$C$7:$C$590,"&lt;"&amp;EDATE(A61,1),'Bankbuchungen'!$F$7:$F$590,"&lt;0")</x:f>
        <x:v>0</x:v>
      </x:c>
      <x:c r="F61" s="12" t="n">
        <x:f>C61+D61-E61</x:f>
        <x:v>26192.5</x:v>
      </x:c>
      <x:c r="G61" s="12" t="n">
        <x:v>26192.5</x:v>
      </x:c>
      <x:c r="H61" s="12" t="n">
        <x:f>ROUND(F61-G61,2)</x:f>
        <x:v>0</x:v>
      </x:c>
      <x:c r="I61" s="2" t="str">
        <x:v>02_Konten/SPAR_2025-04.pdf</x:v>
      </x:c>
    </x:row>
    <x:row r="62" ht="22" customHeight="1">
      <x:c r="A62" s="10" t="d">
        <x:v>2025-05-01T12:00:00.000Z</x:v>
      </x:c>
      <x:c r="B62" s="2" t="str">
        <x:v>SPAR</x:v>
      </x:c>
      <x:c r="C62" s="12" t="n">
        <x:f>G61</x:f>
        <x:v>26192.5</x:v>
      </x:c>
      <x:c r="D62" s="12" t="n">
        <x:f>SUMIFS('Bankbuchungen'!$F$7:$F$590,'Bankbuchungen'!$B$7:$B$590,B62,'Bankbuchungen'!$C$7:$C$590,"&gt;="&amp;A62,'Bankbuchungen'!$C$7:$C$590,"&lt;"&amp;EDATE(A62,1),'Bankbuchungen'!$F$7:$F$590,"&gt;0")</x:f>
        <x:v>0</x:v>
      </x:c>
      <x:c r="E62" s="12" t="n">
        <x:f>-SUMIFS('Bankbuchungen'!$F$7:$F$590,'Bankbuchungen'!$B$7:$B$590,B62,'Bankbuchungen'!$C$7:$C$590,"&gt;="&amp;A62,'Bankbuchungen'!$C$7:$C$590,"&lt;"&amp;EDATE(A62,1),'Bankbuchungen'!$F$7:$F$590,"&lt;0")</x:f>
        <x:v>0</x:v>
      </x:c>
      <x:c r="F62" s="12" t="n">
        <x:f>C62+D62-E62</x:f>
        <x:v>26192.5</x:v>
      </x:c>
      <x:c r="G62" s="12" t="n">
        <x:v>26192.5</x:v>
      </x:c>
      <x:c r="H62" s="12" t="n">
        <x:f>ROUND(F62-G62,2)</x:f>
        <x:v>0</x:v>
      </x:c>
      <x:c r="I62" s="2" t="str">
        <x:v>02_Konten/SPAR_2025-05.pdf</x:v>
      </x:c>
    </x:row>
    <x:row r="63" ht="22" customHeight="1">
      <x:c r="A63" s="10" t="d">
        <x:v>2025-06-01T12:00:00.000Z</x:v>
      </x:c>
      <x:c r="B63" s="2" t="str">
        <x:v>SPAR</x:v>
      </x:c>
      <x:c r="C63" s="12" t="n">
        <x:f>G62</x:f>
        <x:v>26192.5</x:v>
      </x:c>
      <x:c r="D63" s="12" t="n">
        <x:f>SUMIFS('Bankbuchungen'!$F$7:$F$590,'Bankbuchungen'!$B$7:$B$590,B63,'Bankbuchungen'!$C$7:$C$590,"&gt;="&amp;A63,'Bankbuchungen'!$C$7:$C$590,"&lt;"&amp;EDATE(A63,1),'Bankbuchungen'!$F$7:$F$590,"&gt;0")</x:f>
        <x:v>250</x:v>
      </x:c>
      <x:c r="E63" s="12" t="n">
        <x:f>-SUMIFS('Bankbuchungen'!$F$7:$F$590,'Bankbuchungen'!$B$7:$B$590,B63,'Bankbuchungen'!$C$7:$C$590,"&gt;="&amp;A63,'Bankbuchungen'!$C$7:$C$590,"&lt;"&amp;EDATE(A63,1),'Bankbuchungen'!$F$7:$F$590,"&lt;0")</x:f>
        <x:v>0</x:v>
      </x:c>
      <x:c r="F63" s="12" t="n">
        <x:f>C63+D63-E63</x:f>
        <x:v>26442.5</x:v>
      </x:c>
      <x:c r="G63" s="12" t="n">
        <x:v>26442.5</x:v>
      </x:c>
      <x:c r="H63" s="12" t="n">
        <x:f>ROUND(F63-G63,2)</x:f>
        <x:v>0</x:v>
      </x:c>
      <x:c r="I63" s="2" t="str">
        <x:v>02_Konten/SPAR_2025-06.pdf</x:v>
      </x:c>
    </x:row>
    <x:row r="64" ht="22" customHeight="1">
      <x:c r="A64" s="10" t="d">
        <x:v>2025-07-01T12:00:00.000Z</x:v>
      </x:c>
      <x:c r="B64" s="2" t="str">
        <x:v>SPAR</x:v>
      </x:c>
      <x:c r="C64" s="12" t="n">
        <x:f>G63</x:f>
        <x:v>26442.5</x:v>
      </x:c>
      <x:c r="D64" s="12" t="n">
        <x:f>SUMIFS('Bankbuchungen'!$F$7:$F$590,'Bankbuchungen'!$B$7:$B$590,B64,'Bankbuchungen'!$C$7:$C$590,"&gt;="&amp;A64,'Bankbuchungen'!$C$7:$C$590,"&lt;"&amp;EDATE(A64,1),'Bankbuchungen'!$F$7:$F$590,"&gt;0")</x:f>
        <x:v>0</x:v>
      </x:c>
      <x:c r="E64" s="12" t="n">
        <x:f>-SUMIFS('Bankbuchungen'!$F$7:$F$590,'Bankbuchungen'!$B$7:$B$590,B64,'Bankbuchungen'!$C$7:$C$590,"&gt;="&amp;A64,'Bankbuchungen'!$C$7:$C$590,"&lt;"&amp;EDATE(A64,1),'Bankbuchungen'!$F$7:$F$590,"&lt;0")</x:f>
        <x:v>0</x:v>
      </x:c>
      <x:c r="F64" s="12" t="n">
        <x:f>C64+D64-E64</x:f>
        <x:v>26442.5</x:v>
      </x:c>
      <x:c r="G64" s="12" t="n">
        <x:v>26442.5</x:v>
      </x:c>
      <x:c r="H64" s="12" t="n">
        <x:f>ROUND(F64-G64,2)</x:f>
        <x:v>0</x:v>
      </x:c>
      <x:c r="I64" s="2" t="str">
        <x:v>02_Konten/SPAR_2025-07.pdf</x:v>
      </x:c>
    </x:row>
    <x:row r="65" ht="22" customHeight="1">
      <x:c r="A65" s="10" t="d">
        <x:v>2025-08-01T12:00:00.000Z</x:v>
      </x:c>
      <x:c r="B65" s="2" t="str">
        <x:v>SPAR</x:v>
      </x:c>
      <x:c r="C65" s="12" t="n">
        <x:f>G64</x:f>
        <x:v>26442.5</x:v>
      </x:c>
      <x:c r="D65" s="12" t="n">
        <x:f>SUMIFS('Bankbuchungen'!$F$7:$F$590,'Bankbuchungen'!$B$7:$B$590,B65,'Bankbuchungen'!$C$7:$C$590,"&gt;="&amp;A65,'Bankbuchungen'!$C$7:$C$590,"&lt;"&amp;EDATE(A65,1),'Bankbuchungen'!$F$7:$F$590,"&gt;0")</x:f>
        <x:v>0</x:v>
      </x:c>
      <x:c r="E65" s="12" t="n">
        <x:f>-SUMIFS('Bankbuchungen'!$F$7:$F$590,'Bankbuchungen'!$B$7:$B$590,B65,'Bankbuchungen'!$C$7:$C$590,"&gt;="&amp;A65,'Bankbuchungen'!$C$7:$C$590,"&lt;"&amp;EDATE(A65,1),'Bankbuchungen'!$F$7:$F$590,"&lt;0")</x:f>
        <x:v>0</x:v>
      </x:c>
      <x:c r="F65" s="12" t="n">
        <x:f>C65+D65-E65</x:f>
        <x:v>26442.5</x:v>
      </x:c>
      <x:c r="G65" s="12" t="n">
        <x:v>26442.5</x:v>
      </x:c>
      <x:c r="H65" s="12" t="n">
        <x:f>ROUND(F65-G65,2)</x:f>
        <x:v>0</x:v>
      </x:c>
      <x:c r="I65" s="2" t="str">
        <x:v>02_Konten/SPAR_2025-08.pdf</x:v>
      </x:c>
    </x:row>
    <x:row r="66" ht="22" customHeight="1">
      <x:c r="A66" s="10" t="d">
        <x:v>2025-09-01T12:00:00.000Z</x:v>
      </x:c>
      <x:c r="B66" s="2" t="str">
        <x:v>SPAR</x:v>
      </x:c>
      <x:c r="C66" s="12" t="n">
        <x:f>G65</x:f>
        <x:v>26442.5</x:v>
      </x:c>
      <x:c r="D66" s="12" t="n">
        <x:f>SUMIFS('Bankbuchungen'!$F$7:$F$590,'Bankbuchungen'!$B$7:$B$590,B66,'Bankbuchungen'!$C$7:$C$590,"&gt;="&amp;A66,'Bankbuchungen'!$C$7:$C$590,"&lt;"&amp;EDATE(A66,1),'Bankbuchungen'!$F$7:$F$590,"&gt;0")</x:f>
        <x:v>250</x:v>
      </x:c>
      <x:c r="E66" s="12" t="n">
        <x:f>-SUMIFS('Bankbuchungen'!$F$7:$F$590,'Bankbuchungen'!$B$7:$B$590,B66,'Bankbuchungen'!$C$7:$C$590,"&gt;="&amp;A66,'Bankbuchungen'!$C$7:$C$590,"&lt;"&amp;EDATE(A66,1),'Bankbuchungen'!$F$7:$F$590,"&lt;0")</x:f>
        <x:v>2500</x:v>
      </x:c>
      <x:c r="F66" s="12" t="n">
        <x:f>C66+D66-E66</x:f>
        <x:v>24192.5</x:v>
      </x:c>
      <x:c r="G66" s="12" t="n">
        <x:v>24192.5</x:v>
      </x:c>
      <x:c r="H66" s="12" t="n">
        <x:f>ROUND(F66-G66,2)</x:f>
        <x:v>0</x:v>
      </x:c>
      <x:c r="I66" s="2" t="str">
        <x:v>02_Konten/SPAR_2025-09.pdf</x:v>
      </x:c>
    </x:row>
    <x:row r="67" ht="22" customHeight="1">
      <x:c r="A67" s="10" t="d">
        <x:v>2025-10-01T12:00:00.000Z</x:v>
      </x:c>
      <x:c r="B67" s="2" t="str">
        <x:v>SPAR</x:v>
      </x:c>
      <x:c r="C67" s="12" t="n">
        <x:f>G66</x:f>
        <x:v>24192.5</x:v>
      </x:c>
      <x:c r="D67" s="12" t="n">
        <x:f>SUMIFS('Bankbuchungen'!$F$7:$F$590,'Bankbuchungen'!$B$7:$B$590,B67,'Bankbuchungen'!$C$7:$C$590,"&gt;="&amp;A67,'Bankbuchungen'!$C$7:$C$590,"&lt;"&amp;EDATE(A67,1),'Bankbuchungen'!$F$7:$F$590,"&gt;0")</x:f>
        <x:v>0</x:v>
      </x:c>
      <x:c r="E67" s="12" t="n">
        <x:f>-SUMIFS('Bankbuchungen'!$F$7:$F$590,'Bankbuchungen'!$B$7:$B$590,B67,'Bankbuchungen'!$C$7:$C$590,"&gt;="&amp;A67,'Bankbuchungen'!$C$7:$C$590,"&lt;"&amp;EDATE(A67,1),'Bankbuchungen'!$F$7:$F$590,"&lt;0")</x:f>
        <x:v>0</x:v>
      </x:c>
      <x:c r="F67" s="12" t="n">
        <x:f>C67+D67-E67</x:f>
        <x:v>24192.5</x:v>
      </x:c>
      <x:c r="G67" s="12" t="n">
        <x:v>24192.5</x:v>
      </x:c>
      <x:c r="H67" s="12" t="n">
        <x:f>ROUND(F67-G67,2)</x:f>
        <x:v>0</x:v>
      </x:c>
      <x:c r="I67" s="2" t="str">
        <x:v>02_Konten/SPAR_2025-10.pdf</x:v>
      </x:c>
    </x:row>
    <x:row r="68" ht="22" customHeight="1">
      <x:c r="A68" s="10" t="d">
        <x:v>2025-11-01T12:00:00.000Z</x:v>
      </x:c>
      <x:c r="B68" s="2" t="str">
        <x:v>SPAR</x:v>
      </x:c>
      <x:c r="C68" s="12" t="n">
        <x:f>G67</x:f>
        <x:v>24192.5</x:v>
      </x:c>
      <x:c r="D68" s="12" t="n">
        <x:f>SUMIFS('Bankbuchungen'!$F$7:$F$590,'Bankbuchungen'!$B$7:$B$590,B68,'Bankbuchungen'!$C$7:$C$590,"&gt;="&amp;A68,'Bankbuchungen'!$C$7:$C$590,"&lt;"&amp;EDATE(A68,1),'Bankbuchungen'!$F$7:$F$590,"&gt;0")</x:f>
        <x:v>0</x:v>
      </x:c>
      <x:c r="E68" s="12" t="n">
        <x:f>-SUMIFS('Bankbuchungen'!$F$7:$F$590,'Bankbuchungen'!$B$7:$B$590,B68,'Bankbuchungen'!$C$7:$C$590,"&gt;="&amp;A68,'Bankbuchungen'!$C$7:$C$590,"&lt;"&amp;EDATE(A68,1),'Bankbuchungen'!$F$7:$F$590,"&lt;0")</x:f>
        <x:v>0</x:v>
      </x:c>
      <x:c r="F68" s="12" t="n">
        <x:f>C68+D68-E68</x:f>
        <x:v>24192.5</x:v>
      </x:c>
      <x:c r="G68" s="12" t="n">
        <x:v>24192.5</x:v>
      </x:c>
      <x:c r="H68" s="12" t="n">
        <x:f>ROUND(F68-G68,2)</x:f>
        <x:v>0</x:v>
      </x:c>
      <x:c r="I68" s="2" t="str">
        <x:v>02_Konten/SPAR_2025-11.pdf</x:v>
      </x:c>
    </x:row>
    <x:row r="69" ht="22" customHeight="1">
      <x:c r="A69" s="10" t="d">
        <x:v>2025-12-01T12:00:00.000Z</x:v>
      </x:c>
      <x:c r="B69" s="2" t="str">
        <x:v>SPAR</x:v>
      </x:c>
      <x:c r="C69" s="12" t="n">
        <x:f>G68</x:f>
        <x:v>24192.5</x:v>
      </x:c>
      <x:c r="D69" s="12" t="n">
        <x:f>SUMIFS('Bankbuchungen'!$F$7:$F$590,'Bankbuchungen'!$B$7:$B$590,B69,'Bankbuchungen'!$C$7:$C$590,"&gt;="&amp;A69,'Bankbuchungen'!$C$7:$C$590,"&lt;"&amp;EDATE(A69,1),'Bankbuchungen'!$F$7:$F$590,"&gt;0")</x:f>
        <x:v>365</x:v>
      </x:c>
      <x:c r="E69" s="12" t="n">
        <x:f>-SUMIFS('Bankbuchungen'!$F$7:$F$590,'Bankbuchungen'!$B$7:$B$590,B69,'Bankbuchungen'!$C$7:$C$590,"&gt;="&amp;A69,'Bankbuchungen'!$C$7:$C$590,"&lt;"&amp;EDATE(A69,1),'Bankbuchungen'!$F$7:$F$590,"&lt;0")</x:f>
        <x:v>0</x:v>
      </x:c>
      <x:c r="F69" s="12" t="n">
        <x:f>C69+D69-E69</x:f>
        <x:v>24557.5</x:v>
      </x:c>
      <x:c r="G69" s="12" t="n">
        <x:v>24557.5</x:v>
      </x:c>
      <x:c r="H69" s="12" t="n">
        <x:f>ROUND(F69-G69,2)</x:f>
        <x:v>0</x:v>
      </x:c>
      <x:c r="I69" s="2" t="str">
        <x:v>02_Konten/SPAR_2025-12.pdf</x:v>
      </x:c>
    </x:row>
    <x:row r="70" ht="22" customHeight="1">
      <x:c r="A70" s="10" t="d">
        <x:v>2026-01-01T12:00:00.000Z</x:v>
      </x:c>
      <x:c r="B70" s="2" t="str">
        <x:v>SPAR</x:v>
      </x:c>
      <x:c r="C70" s="12" t="n">
        <x:f>G69</x:f>
        <x:v>24557.5</x:v>
      </x:c>
      <x:c r="D70" s="12" t="n">
        <x:f>SUMIFS('Bankbuchungen'!$F$7:$F$590,'Bankbuchungen'!$B$7:$B$590,B70,'Bankbuchungen'!$C$7:$C$590,"&gt;="&amp;A70,'Bankbuchungen'!$C$7:$C$590,"&lt;"&amp;EDATE(A70,1),'Bankbuchungen'!$F$7:$F$590,"&gt;0")</x:f>
        <x:v>0</x:v>
      </x:c>
      <x:c r="E70" s="12" t="n">
        <x:f>-SUMIFS('Bankbuchungen'!$F$7:$F$590,'Bankbuchungen'!$B$7:$B$590,B70,'Bankbuchungen'!$C$7:$C$590,"&gt;="&amp;A70,'Bankbuchungen'!$C$7:$C$590,"&lt;"&amp;EDATE(A70,1),'Bankbuchungen'!$F$7:$F$590,"&lt;0")</x:f>
        <x:v>0</x:v>
      </x:c>
      <x:c r="F70" s="12" t="n">
        <x:f>C70+D70-E70</x:f>
        <x:v>24557.5</x:v>
      </x:c>
      <x:c r="G70" s="12" t="n">
        <x:v>24557.5</x:v>
      </x:c>
      <x:c r="H70" s="12" t="n">
        <x:f>ROUND(F70-G70,2)</x:f>
        <x:v>0</x:v>
      </x:c>
      <x:c r="I70" s="2" t="str">
        <x:v>02_Konten/SPAR_2026-01.pdf</x:v>
      </x:c>
    </x:row>
    <x:row r="71" ht="22" customHeight="1">
      <x:c r="A71" s="10" t="d">
        <x:v>2026-02-01T12:00:00.000Z</x:v>
      </x:c>
      <x:c r="B71" s="2" t="str">
        <x:v>SPAR</x:v>
      </x:c>
      <x:c r="C71" s="12" t="n">
        <x:f>G70</x:f>
        <x:v>24557.5</x:v>
      </x:c>
      <x:c r="D71" s="12" t="n">
        <x:f>SUMIFS('Bankbuchungen'!$F$7:$F$590,'Bankbuchungen'!$B$7:$B$590,B71,'Bankbuchungen'!$C$7:$C$590,"&gt;="&amp;A71,'Bankbuchungen'!$C$7:$C$590,"&lt;"&amp;EDATE(A71,1),'Bankbuchungen'!$F$7:$F$590,"&gt;0")</x:f>
        <x:v>0</x:v>
      </x:c>
      <x:c r="E71" s="12" t="n">
        <x:f>-SUMIFS('Bankbuchungen'!$F$7:$F$590,'Bankbuchungen'!$B$7:$B$590,B71,'Bankbuchungen'!$C$7:$C$590,"&gt;="&amp;A71,'Bankbuchungen'!$C$7:$C$590,"&lt;"&amp;EDATE(A71,1),'Bankbuchungen'!$F$7:$F$590,"&lt;0")</x:f>
        <x:v>0</x:v>
      </x:c>
      <x:c r="F71" s="12" t="n">
        <x:f>C71+D71-E71</x:f>
        <x:v>24557.5</x:v>
      </x:c>
      <x:c r="G71" s="12" t="n">
        <x:v>24557.5</x:v>
      </x:c>
      <x:c r="H71" s="12" t="n">
        <x:f>ROUND(F71-G71,2)</x:f>
        <x:v>0</x:v>
      </x:c>
      <x:c r="I71" s="2" t="str">
        <x:v>02_Konten/SPAR_2026-02.pdf</x:v>
      </x:c>
    </x:row>
    <x:row r="72" ht="22" customHeight="1">
      <x:c r="A72" s="10" t="d">
        <x:v>2026-03-01T12:00:00.000Z</x:v>
      </x:c>
      <x:c r="B72" s="2" t="str">
        <x:v>SPAR</x:v>
      </x:c>
      <x:c r="C72" s="12" t="n">
        <x:f>G71</x:f>
        <x:v>24557.5</x:v>
      </x:c>
      <x:c r="D72" s="12" t="n">
        <x:f>SUMIFS('Bankbuchungen'!$F$7:$F$590,'Bankbuchungen'!$B$7:$B$590,B72,'Bankbuchungen'!$C$7:$C$590,"&gt;="&amp;A72,'Bankbuchungen'!$C$7:$C$590,"&lt;"&amp;EDATE(A72,1),'Bankbuchungen'!$F$7:$F$590,"&gt;0")</x:f>
        <x:v>250</x:v>
      </x:c>
      <x:c r="E72" s="12" t="n">
        <x:f>-SUMIFS('Bankbuchungen'!$F$7:$F$590,'Bankbuchungen'!$B$7:$B$590,B72,'Bankbuchungen'!$C$7:$C$590,"&gt;="&amp;A72,'Bankbuchungen'!$C$7:$C$590,"&lt;"&amp;EDATE(A72,1),'Bankbuchungen'!$F$7:$F$590,"&lt;0")</x:f>
        <x:v>0</x:v>
      </x:c>
      <x:c r="F72" s="12" t="n">
        <x:f>C72+D72-E72</x:f>
        <x:v>24807.5</x:v>
      </x:c>
      <x:c r="G72" s="12" t="n">
        <x:v>24807.5</x:v>
      </x:c>
      <x:c r="H72" s="12" t="n">
        <x:f>ROUND(F72-G72,2)</x:f>
        <x:v>0</x:v>
      </x:c>
      <x:c r="I72" s="2" t="str">
        <x:v>02_Konten/SPAR_2026-03.pdf</x:v>
      </x:c>
    </x:row>
    <x:row r="73" ht="22" customHeight="1">
      <x:c r="A73" s="10" t="d">
        <x:v>2026-04-01T12:00:00.000Z</x:v>
      </x:c>
      <x:c r="B73" s="2" t="str">
        <x:v>SPAR</x:v>
      </x:c>
      <x:c r="C73" s="12" t="n">
        <x:f>G72</x:f>
        <x:v>24807.5</x:v>
      </x:c>
      <x:c r="D73" s="12" t="n">
        <x:f>SUMIFS('Bankbuchungen'!$F$7:$F$590,'Bankbuchungen'!$B$7:$B$590,B73,'Bankbuchungen'!$C$7:$C$590,"&gt;="&amp;A73,'Bankbuchungen'!$C$7:$C$590,"&lt;"&amp;EDATE(A73,1),'Bankbuchungen'!$F$7:$F$590,"&gt;0")</x:f>
        <x:v>0</x:v>
      </x:c>
      <x:c r="E73" s="12" t="n">
        <x:f>-SUMIFS('Bankbuchungen'!$F$7:$F$590,'Bankbuchungen'!$B$7:$B$590,B73,'Bankbuchungen'!$C$7:$C$590,"&gt;="&amp;A73,'Bankbuchungen'!$C$7:$C$590,"&lt;"&amp;EDATE(A73,1),'Bankbuchungen'!$F$7:$F$590,"&lt;0")</x:f>
        <x:v>0</x:v>
      </x:c>
      <x:c r="F73" s="12" t="n">
        <x:f>C73+D73-E73</x:f>
        <x:v>24807.5</x:v>
      </x:c>
      <x:c r="G73" s="12" t="n">
        <x:v>24807.5</x:v>
      </x:c>
      <x:c r="H73" s="12" t="n">
        <x:f>ROUND(F73-G73,2)</x:f>
        <x:v>0</x:v>
      </x:c>
      <x:c r="I73" s="2" t="str">
        <x:v>02_Konten/SPAR_2026-04.pdf</x:v>
      </x:c>
    </x:row>
    <x:row r="74" ht="22" customHeight="1">
      <x:c r="A74" s="10" t="d">
        <x:v>2026-05-01T12:00:00.000Z</x:v>
      </x:c>
      <x:c r="B74" s="2" t="str">
        <x:v>SPAR</x:v>
      </x:c>
      <x:c r="C74" s="12" t="n">
        <x:f>G73</x:f>
        <x:v>24807.5</x:v>
      </x:c>
      <x:c r="D74" s="12" t="n">
        <x:f>SUMIFS('Bankbuchungen'!$F$7:$F$590,'Bankbuchungen'!$B$7:$B$590,B74,'Bankbuchungen'!$C$7:$C$590,"&gt;="&amp;A74,'Bankbuchungen'!$C$7:$C$590,"&lt;"&amp;EDATE(A74,1),'Bankbuchungen'!$F$7:$F$590,"&gt;0")</x:f>
        <x:v>0</x:v>
      </x:c>
      <x:c r="E74" s="12" t="n">
        <x:f>-SUMIFS('Bankbuchungen'!$F$7:$F$590,'Bankbuchungen'!$B$7:$B$590,B74,'Bankbuchungen'!$C$7:$C$590,"&gt;="&amp;A74,'Bankbuchungen'!$C$7:$C$590,"&lt;"&amp;EDATE(A74,1),'Bankbuchungen'!$F$7:$F$590,"&lt;0")</x:f>
        <x:v>1500</x:v>
      </x:c>
      <x:c r="F74" s="12" t="n">
        <x:f>C74+D74-E74</x:f>
        <x:v>23307.5</x:v>
      </x:c>
      <x:c r="G74" s="12" t="n">
        <x:v>23307.5</x:v>
      </x:c>
      <x:c r="H74" s="12" t="n">
        <x:f>ROUND(F74-G74,2)</x:f>
        <x:v>0</x:v>
      </x:c>
      <x:c r="I74" s="2" t="str">
        <x:v>02_Konten/SPAR_2026-05.pdf</x:v>
      </x:c>
    </x:row>
    <x:row r="75" ht="22" customHeight="1">
      <x:c r="A75" s="10" t="d">
        <x:v>2026-06-01T12:00:00.000Z</x:v>
      </x:c>
      <x:c r="B75" s="2" t="str">
        <x:v>SPAR</x:v>
      </x:c>
      <x:c r="C75" s="12" t="n">
        <x:f>G74</x:f>
        <x:v>23307.5</x:v>
      </x:c>
      <x:c r="D75" s="12" t="n">
        <x:f>SUMIFS('Bankbuchungen'!$F$7:$F$590,'Bankbuchungen'!$B$7:$B$590,B75,'Bankbuchungen'!$C$7:$C$590,"&gt;="&amp;A75,'Bankbuchungen'!$C$7:$C$590,"&lt;"&amp;EDATE(A75,1),'Bankbuchungen'!$F$7:$F$590,"&gt;0")</x:f>
        <x:v>250</x:v>
      </x:c>
      <x:c r="E75" s="12" t="n">
        <x:f>-SUMIFS('Bankbuchungen'!$F$7:$F$590,'Bankbuchungen'!$B$7:$B$590,B75,'Bankbuchungen'!$C$7:$C$590,"&gt;="&amp;A75,'Bankbuchungen'!$C$7:$C$590,"&lt;"&amp;EDATE(A75,1),'Bankbuchungen'!$F$7:$F$590,"&lt;0")</x:f>
        <x:v>0</x:v>
      </x:c>
      <x:c r="F75" s="12" t="n">
        <x:f>C75+D75-E75</x:f>
        <x:v>23557.5</x:v>
      </x:c>
      <x:c r="G75" s="12" t="n">
        <x:v>23557.5</x:v>
      </x:c>
      <x:c r="H75" s="12" t="n">
        <x:f>ROUND(F75-G75,2)</x:f>
        <x:v>0</x:v>
      </x:c>
      <x:c r="I75" s="2" t="str">
        <x:v>02_Konten/SPAR_2026-06.pdf</x:v>
      </x:c>
    </x:row>
    <x:row r="76" ht="22" customHeight="1">
      <x:c r="A76" s="10" t="d">
        <x:v>2026-07-01T12:00:00.000Z</x:v>
      </x:c>
      <x:c r="B76" s="2" t="str">
        <x:v>SPAR</x:v>
      </x:c>
      <x:c r="C76" s="12" t="n">
        <x:f>G75</x:f>
        <x:v>23557.5</x:v>
      </x:c>
      <x:c r="D76" s="12" t="n">
        <x:f>SUMIFS('Bankbuchungen'!$F$7:$F$590,'Bankbuchungen'!$B$7:$B$590,B76,'Bankbuchungen'!$C$7:$C$590,"&gt;="&amp;A76,'Bankbuchungen'!$C$7:$C$590,"&lt;"&amp;EDATE(A76,1),'Bankbuchungen'!$F$7:$F$590,"&gt;0")</x:f>
        <x:v>0</x:v>
      </x:c>
      <x:c r="E76" s="12" t="n">
        <x:f>-SUMIFS('Bankbuchungen'!$F$7:$F$590,'Bankbuchungen'!$B$7:$B$590,B76,'Bankbuchungen'!$C$7:$C$590,"&gt;="&amp;A76,'Bankbuchungen'!$C$7:$C$590,"&lt;"&amp;EDATE(A76,1),'Bankbuchungen'!$F$7:$F$590,"&lt;0")</x:f>
        <x:v>0</x:v>
      </x:c>
      <x:c r="F76" s="12" t="n">
        <x:f>C76+D76-E76</x:f>
        <x:v>23557.5</x:v>
      </x:c>
      <x:c r="G76" s="12" t="n">
        <x:v>23557.5</x:v>
      </x:c>
      <x:c r="H76" s="12" t="n">
        <x:f>ROUND(F76-G76,2)</x:f>
        <x:v>0</x:v>
      </x:c>
      <x:c r="I76" s="2" t="str">
        <x:v>02_Konten/SPAR_2026-07.pdf</x:v>
      </x:c>
    </x:row>
    <x:row r="77" ht="22" customHeight="1">
      <x:c r="A77" s="10" t="d">
        <x:v>2026-08-01T12:00:00.000Z</x:v>
      </x:c>
      <x:c r="B77" s="2" t="str">
        <x:v>SPAR</x:v>
      </x:c>
      <x:c r="C77" s="12" t="n">
        <x:f>G76</x:f>
        <x:v>23557.5</x:v>
      </x:c>
      <x:c r="D77" s="12" t="n">
        <x:f>SUMIFS('Bankbuchungen'!$F$7:$F$590,'Bankbuchungen'!$B$7:$B$590,B77,'Bankbuchungen'!$C$7:$C$590,"&gt;="&amp;A77,'Bankbuchungen'!$C$7:$C$590,"&lt;"&amp;EDATE(A77,1),'Bankbuchungen'!$F$7:$F$590,"&gt;0")</x:f>
        <x:v>0</x:v>
      </x:c>
      <x:c r="E77" s="12" t="n">
        <x:f>-SUMIFS('Bankbuchungen'!$F$7:$F$590,'Bankbuchungen'!$B$7:$B$590,B77,'Bankbuchungen'!$C$7:$C$590,"&gt;="&amp;A77,'Bankbuchungen'!$C$7:$C$590,"&lt;"&amp;EDATE(A77,1),'Bankbuchungen'!$F$7:$F$590,"&lt;0")</x:f>
        <x:v>0</x:v>
      </x:c>
      <x:c r="F77" s="12" t="n">
        <x:f>C77+D77-E77</x:f>
        <x:v>23557.5</x:v>
      </x:c>
      <x:c r="G77" s="12" t="n">
        <x:v>23557.5</x:v>
      </x:c>
      <x:c r="H77" s="12" t="n">
        <x:f>ROUND(F77-G77,2)</x:f>
        <x:v>0</x:v>
      </x:c>
      <x:c r="I77" s="2" t="str">
        <x:v>02_Konten/SPAR_2026-08.pdf</x:v>
      </x:c>
    </x:row>
    <x:row r="78" ht="22" customHeight="1">
      <x:c r="A78" s="10" t="d">
        <x:v>2026-09-01T12:00:00.000Z</x:v>
      </x:c>
      <x:c r="B78" s="2" t="str">
        <x:v>SPAR</x:v>
      </x:c>
      <x:c r="C78" s="12" t="n">
        <x:f>G77</x:f>
        <x:v>23557.5</x:v>
      </x:c>
      <x:c r="D78" s="12" t="n">
        <x:f>SUMIFS('Bankbuchungen'!$F$7:$F$590,'Bankbuchungen'!$B$7:$B$590,B78,'Bankbuchungen'!$C$7:$C$590,"&gt;="&amp;A78,'Bankbuchungen'!$C$7:$C$590,"&lt;"&amp;EDATE(A78,1),'Bankbuchungen'!$F$7:$F$590,"&gt;0")</x:f>
        <x:v>250</x:v>
      </x:c>
      <x:c r="E78" s="12" t="n">
        <x:f>-SUMIFS('Bankbuchungen'!$F$7:$F$590,'Bankbuchungen'!$B$7:$B$590,B78,'Bankbuchungen'!$C$7:$C$590,"&gt;="&amp;A78,'Bankbuchungen'!$C$7:$C$590,"&lt;"&amp;EDATE(A78,1),'Bankbuchungen'!$F$7:$F$590,"&lt;0")</x:f>
        <x:v>0</x:v>
      </x:c>
      <x:c r="F78" s="12" t="n">
        <x:f>C78+D78-E78</x:f>
        <x:v>23807.5</x:v>
      </x:c>
      <x:c r="G78" s="12" t="n">
        <x:v>23807.5</x:v>
      </x:c>
      <x:c r="H78" s="12" t="n">
        <x:f>ROUND(F78-G78,2)</x:f>
        <x:v>0</x:v>
      </x:c>
      <x:c r="I78" s="2" t="str">
        <x:v>02_Konten/SPAR_2026-09.pdf</x:v>
      </x:c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</x:row>
  </x:sheetData>
  <x:conditionalFormatting sqref="H7:H78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f34e51b7e84507"/>
  </x:tableParts>
</x:worksheet>
</file>

<file path=xl/worksheets/sheet2.xml><?xml version="1.0" encoding="utf-8"?>
<x:worksheet xmlns:x="http://schemas.openxmlformats.org/spreadsheetml/2006/main">
  <x:sheetPr>
    <x:tabColor rgb="FFD8CDB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32" hidden="0" customWidth="1"/>
    <x:col min="5" max="5" width="65" hidden="0" customWidth="1"/>
    <x:col min="6" max="6" width="19" hidden="0" customWidth="1"/>
    <x:col min="7" max="7" width="20" hidden="0" customWidth="1"/>
    <x:col min="8" max="8" width="49" hidden="0" customWidth="1"/>
    <x:col min="9" max="9" width="25" hidden="0" customWidth="1"/>
    <x:col min="10" max="10" width="2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Bankbuchungen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2" customHeight="1">
      <x:c r="A4" s="5" t="str">
        <x:v>Original-Buchungstexte, ohne Einordnung als Verbrauch, Schenkung oder Rückforderung.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8" customHeight="1">
      <x:c r="A6" s="9" t="str">
        <x:v>Buchung-ID</x:v>
      </x:c>
      <x:c r="B6" s="9" t="str">
        <x:v>Konto-ID</x:v>
      </x:c>
      <x:c r="C6" s="9" t="str">
        <x:v>Buchungstag</x:v>
      </x:c>
      <x:c r="D6" s="9" t="str">
        <x:v>Gegenpartei</x:v>
      </x:c>
      <x:c r="E6" s="9" t="str">
        <x:v>Verwendungszweck</x:v>
      </x:c>
      <x:c r="F6" s="9" t="str">
        <x:v>Betrag EUR</x:v>
      </x:c>
      <x:c r="G6" s="9" t="str">
        <x:v>Wertstellung</x:v>
      </x:c>
      <x:c r="H6" s="9" t="str">
        <x:v>Kontoauszug</x:v>
      </x:c>
      <x:c r="I6" s="9" t="str">
        <x:v>Beleg-ID(s)</x:v>
      </x:c>
      <x:c r="J6" s="9" t="str">
        <x:v>Bankreferenz</x:v>
      </x:c>
    </x:row>
    <x:row r="7" ht="35" customHeight="1">
      <x:c r="A7" s="2" t="str">
        <x:v>B0003</x:v>
      </x:c>
      <x:c r="B7" s="2" t="str">
        <x:v>GIRO</x:v>
      </x:c>
      <x:c r="C7" s="13" t="n">
        <x:v>45202</x:v>
      </x:c>
      <x:c r="D7" s="14" t="str">
        <x:v>Hausverwaltung Lindenblatt KG</x:v>
      </x:c>
      <x:c r="E7" s="14" t="str">
        <x:v>Warmmiete Fliederbogen 17 / 2023-10</x:v>
      </x:c>
      <x:c r="F7" s="12" t="n">
        <x:v>-780</x:v>
      </x:c>
      <x:c r="G7" s="13" t="n">
        <x:v>45202</x:v>
      </x:c>
      <x:c r="H7" s="2" t="str">
        <x:v>02_Konten/GIRO_2023-10.pdf</x:v>
      </x:c>
      <x:c r="I7" s="2" t="str"/>
      <x:c r="J7" s="2" t="str">
        <x:v>B0003</x:v>
      </x:c>
    </x:row>
    <x:row r="8" ht="35" customHeight="1">
      <x:c r="A8" s="2" t="str">
        <x:v>B0004</x:v>
      </x:c>
      <x:c r="B8" s="2" t="str">
        <x:v>GIRO</x:v>
      </x:c>
      <x:c r="C8" s="13" t="n">
        <x:v>45205</x:v>
      </x:c>
      <x:c r="D8" s="14" t="str">
        <x:v>Nordlicht Energie Berlin GmbH</x:v>
      </x:c>
      <x:c r="E8" s="14" t="str">
        <x:v>Abschlag Kundennummer NE-48017 / 2023-10</x:v>
      </x:c>
      <x:c r="F8" s="12" t="n">
        <x:v>-72</x:v>
      </x:c>
      <x:c r="G8" s="13" t="n">
        <x:v>45205</x:v>
      </x:c>
      <x:c r="H8" s="2" t="str">
        <x:v>02_Konten/GIRO_2023-10.pdf</x:v>
      </x:c>
      <x:c r="I8" s="2" t="str"/>
      <x:c r="J8" s="2" t="str">
        <x:v>B0004</x:v>
      </x:c>
    </x:row>
    <x:row r="9" ht="35" customHeight="1">
      <x:c r="A9" s="2" t="str">
        <x:v>B0005</x:v>
      </x:c>
      <x:c r="B9" s="2" t="str">
        <x:v>GIRO</x:v>
      </x:c>
      <x:c r="C9" s="13" t="n">
        <x:v>45208</x:v>
      </x:c>
      <x:c r="D9" s="14" t="str">
        <x:v>Sprechfink Telekom GmbH</x:v>
      </x:c>
      <x:c r="E9" s="14" t="str">
        <x:v>Festnetz und Internet SP-118044 / 2023-10</x:v>
      </x:c>
      <x:c r="F9" s="12" t="n">
        <x:v>-39.99</x:v>
      </x:c>
      <x:c r="G9" s="13" t="n">
        <x:v>45208</x:v>
      </x:c>
      <x:c r="H9" s="2" t="str">
        <x:v>02_Konten/GIRO_2023-10.pdf</x:v>
      </x:c>
      <x:c r="I9" s="2" t="str"/>
      <x:c r="J9" s="2" t="str">
        <x:v>B0005</x:v>
      </x:c>
    </x:row>
    <x:row r="10" ht="35" customHeight="1">
      <x:c r="A10" s="2" t="str">
        <x:v>B0006</x:v>
      </x:c>
      <x:c r="B10" s="2" t="str">
        <x:v>GIRO</x:v>
      </x:c>
      <x:c r="C10" s="13" t="n">
        <x:v>45211</x:v>
      </x:c>
      <x:c r="D10" s="14" t="str">
        <x:v>Alltagshilfe Mohnblüte GmbH</x:v>
      </x:c>
      <x:c r="E10" s="14" t="str">
        <x:v>Haushaltshilfe Rechnung MH-2023-10</x:v>
      </x:c>
      <x:c r="F10" s="12" t="n">
        <x:v>-126.5</x:v>
      </x:c>
      <x:c r="G10" s="13" t="n">
        <x:v>45211</x:v>
      </x:c>
      <x:c r="H10" s="2" t="str">
        <x:v>02_Konten/GIRO_2023-10.pdf</x:v>
      </x:c>
      <x:c r="I10" s="2" t="str">
        <x:v>MH-2023-10</x:v>
      </x:c>
      <x:c r="J10" s="2" t="str">
        <x:v>B0006</x:v>
      </x:c>
    </x:row>
    <x:row r="11" ht="35" customHeight="1">
      <x:c r="A11" s="2" t="str">
        <x:v>B0007</x:v>
      </x:c>
      <x:c r="B11" s="2" t="str">
        <x:v>GIRO</x:v>
      </x:c>
      <x:c r="C11" s="13" t="n">
        <x:v>45215</x:v>
      </x:c>
      <x:c r="D11" s="14" t="str">
        <x:v>Frischemarkt Karow</x:v>
      </x:c>
      <x:c r="E11" s="14" t="str">
        <x:v>Kartenzahlung Lebensmittel, Belegserie FK 2023-10</x:v>
      </x:c>
      <x:c r="F11" s="12" t="n">
        <x:v>-215</x:v>
      </x:c>
      <x:c r="G11" s="13" t="n">
        <x:v>45215</x:v>
      </x:c>
      <x:c r="H11" s="2" t="str">
        <x:v>02_Konten/GIRO_2023-10.pdf</x:v>
      </x:c>
      <x:c r="I11" s="2" t="str"/>
      <x:c r="J11" s="2" t="str">
        <x:v>B0007</x:v>
      </x:c>
    </x:row>
    <x:row r="12" ht="35" customHeight="1">
      <x:c r="A12" s="2" t="str">
        <x:v>B0008</x:v>
      </x:c>
      <x:c r="B12" s="2" t="str">
        <x:v>GIRO</x:v>
      </x:c>
      <x:c r="C12" s="13" t="n">
        <x:v>45215</x:v>
      </x:c>
      <x:c r="D12" s="14" t="str">
        <x:v>Apotheke Silberblatt</x:v>
      </x:c>
      <x:c r="E12" s="14" t="str">
        <x:v>Zuzahlung und Pflegebedarf 2023-10</x:v>
      </x:c>
      <x:c r="F12" s="12" t="n">
        <x:v>-24.5</x:v>
      </x:c>
      <x:c r="G12" s="13" t="n">
        <x:v>45215</x:v>
      </x:c>
      <x:c r="H12" s="2" t="str">
        <x:v>02_Konten/GIRO_2023-10.pdf</x:v>
      </x:c>
      <x:c r="I12" s="2" t="str">
        <x:v>AP-2023-10</x:v>
      </x:c>
      <x:c r="J12" s="2" t="str">
        <x:v>B0008</x:v>
      </x:c>
    </x:row>
    <x:row r="13" ht="35" customHeight="1">
      <x:c r="A13" s="2" t="str">
        <x:v>B0009</x:v>
      </x:c>
      <x:c r="B13" s="2" t="str">
        <x:v>GIRO</x:v>
      </x:c>
      <x:c r="C13" s="13" t="n">
        <x:v>45217</x:v>
      </x:c>
      <x:c r="D13" s="14" t="str">
        <x:v>Geldautomat Karow</x:v>
      </x:c>
      <x:c r="E13" s="14" t="str">
        <x:v>Bargeldauszahlung Karte 0441, Terminal KA-03</x:v>
      </x:c>
      <x:c r="F13" s="12" t="n">
        <x:v>-200</x:v>
      </x:c>
      <x:c r="G13" s="13" t="n">
        <x:v>45217</x:v>
      </x:c>
      <x:c r="H13" s="2" t="str">
        <x:v>02_Konten/GIRO_2023-10.pdf</x:v>
      </x:c>
      <x:c r="I13" s="2" t="str"/>
      <x:c r="J13" s="2" t="str">
        <x:v>B0009</x:v>
      </x:c>
    </x:row>
    <x:row r="14" ht="35" customHeight="1">
      <x:c r="A14" s="2" t="str">
        <x:v>B0010</x:v>
      </x:c>
      <x:c r="B14" s="2" t="str">
        <x:v>GIRO</x:v>
      </x:c>
      <x:c r="C14" s="13" t="n">
        <x:v>45219</x:v>
      </x:c>
      <x:c r="D14" s="14" t="str">
        <x:v>Tierladen Pfötchen</x:v>
      </x:c>
      <x:c r="E14" s="14" t="str">
        <x:v>Futter und Streu für Kater Mürbchen</x:v>
      </x:c>
      <x:c r="F14" s="12" t="n">
        <x:v>-48.5</x:v>
      </x:c>
      <x:c r="G14" s="13" t="n">
        <x:v>45219</x:v>
      </x:c>
      <x:c r="H14" s="2" t="str">
        <x:v>02_Konten/GIRO_2023-10.pdf</x:v>
      </x:c>
      <x:c r="I14" s="2" t="str"/>
      <x:c r="J14" s="2" t="str">
        <x:v>B0010</x:v>
      </x:c>
    </x:row>
    <x:row r="15" ht="35" customHeight="1">
      <x:c r="A15" s="2" t="str">
        <x:v>B0011</x:v>
      </x:c>
      <x:c r="B15" s="2" t="str">
        <x:v>GIRO</x:v>
      </x:c>
      <x:c r="C15" s="13" t="n">
        <x:v>45222</x:v>
      </x:c>
      <x:c r="D15" s="14" t="str">
        <x:v>SofaKino Digital GmbH</x:v>
      </x:c>
      <x:c r="E15" s="14" t="str">
        <x:v>Monatsabo SK-77380 / 2023-10</x:v>
      </x:c>
      <x:c r="F15" s="12" t="n">
        <x:v>-12.99</x:v>
      </x:c>
      <x:c r="G15" s="13" t="n">
        <x:v>45222</x:v>
      </x:c>
      <x:c r="H15" s="2" t="str">
        <x:v>02_Konten/GIRO_2023-10.pdf</x:v>
      </x:c>
      <x:c r="I15" s="2" t="str"/>
      <x:c r="J15" s="2" t="str">
        <x:v>B0011</x:v>
      </x:c>
    </x:row>
    <x:row r="16" ht="35" customHeight="1">
      <x:c r="A16" s="2" t="str">
        <x:v>B0012</x:v>
      </x:c>
      <x:c r="B16" s="2" t="str">
        <x:v>GIRO</x:v>
      </x:c>
      <x:c r="C16" s="13" t="n">
        <x:v>45225</x:v>
      </x:c>
      <x:c r="D16" s="14" t="str">
        <x:v>Fensterbank Spree eG</x:v>
      </x:c>
      <x:c r="E16" s="14" t="str">
        <x:v>Kontoführung 2023-10</x:v>
      </x:c>
      <x:c r="F16" s="12" t="n">
        <x:v>-6.9</x:v>
      </x:c>
      <x:c r="G16" s="13" t="n">
        <x:v>45225</x:v>
      </x:c>
      <x:c r="H16" s="2" t="str">
        <x:v>02_Konten/GIRO_2023-10.pdf</x:v>
      </x:c>
      <x:c r="I16" s="2" t="str"/>
      <x:c r="J16" s="2" t="str">
        <x:v>B0012</x:v>
      </x:c>
    </x:row>
    <x:row r="17" ht="35" customHeight="1">
      <x:c r="A17" s="2" t="str">
        <x:v>B0001</x:v>
      </x:c>
      <x:c r="B17" s="2" t="str">
        <x:v>GIRO</x:v>
      </x:c>
      <x:c r="C17" s="13" t="n">
        <x:v>45229</x:v>
      </x:c>
      <x:c r="D17" s="14" t="str">
        <x:v>Rentenstelle Nord</x:v>
      </x:c>
      <x:c r="E17" s="14" t="str">
        <x:v>Altersrente 2023-10</x:v>
      </x:c>
      <x:c r="F17" s="12" t="n">
        <x:v>1900</x:v>
      </x:c>
      <x:c r="G17" s="13" t="n">
        <x:v>45229</x:v>
      </x:c>
      <x:c r="H17" s="2" t="str">
        <x:v>02_Konten/GIRO_2023-10.pdf</x:v>
      </x:c>
      <x:c r="I17" s="2" t="str"/>
      <x:c r="J17" s="2" t="str">
        <x:v>B0001</x:v>
      </x:c>
    </x:row>
    <x:row r="18" ht="35" customHeight="1">
      <x:c r="A18" s="2" t="str">
        <x:v>B0002</x:v>
      </x:c>
      <x:c r="B18" s="2" t="str">
        <x:v>GIRO</x:v>
      </x:c>
      <x:c r="C18" s="13" t="n">
        <x:v>45229</x:v>
      </x:c>
      <x:c r="D18" s="14" t="str">
        <x:v>Rentenstelle Nord</x:v>
      </x:c>
      <x:c r="E18" s="14" t="str">
        <x:v>Hinterbliebenenrente 2023-10</x:v>
      </x:c>
      <x:c r="F18" s="12" t="n">
        <x:v>485</x:v>
      </x:c>
      <x:c r="G18" s="13" t="n">
        <x:v>45229</x:v>
      </x:c>
      <x:c r="H18" s="2" t="str">
        <x:v>02_Konten/GIRO_2023-10.pdf</x:v>
      </x:c>
      <x:c r="I18" s="2" t="str"/>
      <x:c r="J18" s="2" t="str">
        <x:v>B0002</x:v>
      </x:c>
    </x:row>
    <x:row r="19" ht="35" customHeight="1">
      <x:c r="A19" s="2" t="str">
        <x:v>B0015</x:v>
      </x:c>
      <x:c r="B19" s="2" t="str">
        <x:v>GIRO</x:v>
      </x:c>
      <x:c r="C19" s="13" t="n">
        <x:v>45233</x:v>
      </x:c>
      <x:c r="D19" s="14" t="str">
        <x:v>Hausverwaltung Lindenblatt KG</x:v>
      </x:c>
      <x:c r="E19" s="14" t="str">
        <x:v>Warmmiete Fliederbogen 17 / 2023-11</x:v>
      </x:c>
      <x:c r="F19" s="12" t="n">
        <x:v>-780</x:v>
      </x:c>
      <x:c r="G19" s="13" t="n">
        <x:v>45233</x:v>
      </x:c>
      <x:c r="H19" s="2" t="str">
        <x:v>02_Konten/GIRO_2023-11.pdf</x:v>
      </x:c>
      <x:c r="I19" s="2" t="str"/>
      <x:c r="J19" s="2" t="str">
        <x:v>B0015</x:v>
      </x:c>
    </x:row>
    <x:row r="20" ht="35" customHeight="1">
      <x:c r="A20" s="2" t="str">
        <x:v>B0016</x:v>
      </x:c>
      <x:c r="B20" s="2" t="str">
        <x:v>GIRO</x:v>
      </x:c>
      <x:c r="C20" s="13" t="n">
        <x:v>45236</x:v>
      </x:c>
      <x:c r="D20" s="14" t="str">
        <x:v>Nordlicht Energie Berlin GmbH</x:v>
      </x:c>
      <x:c r="E20" s="14" t="str">
        <x:v>Abschlag Kundennummer NE-48017 / 2023-11</x:v>
      </x:c>
      <x:c r="F20" s="12" t="n">
        <x:v>-72</x:v>
      </x:c>
      <x:c r="G20" s="13" t="n">
        <x:v>45236</x:v>
      </x:c>
      <x:c r="H20" s="2" t="str">
        <x:v>02_Konten/GIRO_2023-11.pdf</x:v>
      </x:c>
      <x:c r="I20" s="2" t="str"/>
      <x:c r="J20" s="2" t="str">
        <x:v>B0016</x:v>
      </x:c>
    </x:row>
    <x:row r="21" ht="35" customHeight="1">
      <x:c r="A21" s="2" t="str">
        <x:v>B0017</x:v>
      </x:c>
      <x:c r="B21" s="2" t="str">
        <x:v>GIRO</x:v>
      </x:c>
      <x:c r="C21" s="13" t="n">
        <x:v>45238</x:v>
      </x:c>
      <x:c r="D21" s="14" t="str">
        <x:v>Sprechfink Telekom GmbH</x:v>
      </x:c>
      <x:c r="E21" s="14" t="str">
        <x:v>Festnetz und Internet SP-118044 / 2023-11</x:v>
      </x:c>
      <x:c r="F21" s="12" t="n">
        <x:v>-39.99</x:v>
      </x:c>
      <x:c r="G21" s="13" t="n">
        <x:v>45238</x:v>
      </x:c>
      <x:c r="H21" s="2" t="str">
        <x:v>02_Konten/GIRO_2023-11.pdf</x:v>
      </x:c>
      <x:c r="I21" s="2" t="str"/>
      <x:c r="J21" s="2" t="str">
        <x:v>B0017</x:v>
      </x:c>
    </x:row>
    <x:row r="22" ht="35" customHeight="1">
      <x:c r="A22" s="2" t="str">
        <x:v>B0548</x:v>
      </x:c>
      <x:c r="B22" s="2" t="str">
        <x:v>GIRO</x:v>
      </x:c>
      <x:c r="C22" s="13" t="n">
        <x:v>45239</x:v>
      </x:c>
      <x:c r="D22" s="14" t="str">
        <x:v>Sanitätshaus Schwalbe GmbH</x:v>
      </x:c>
      <x:c r="E22" s="14" t="str">
        <x:v>Eigenanteil Gehstock SS-23119</x:v>
      </x:c>
      <x:c r="F22" s="12" t="n">
        <x:v>-78</x:v>
      </x:c>
      <x:c r="G22" s="13" t="n">
        <x:v>45239</x:v>
      </x:c>
      <x:c r="H22" s="2" t="str">
        <x:v>02_Konten/GIRO_2023-11.pdf</x:v>
      </x:c>
      <x:c r="I22" s="2" t="str">
        <x:v>SS-23119</x:v>
      </x:c>
      <x:c r="J22" s="2" t="str">
        <x:v>B0548</x:v>
      </x:c>
    </x:row>
    <x:row r="23" ht="35" customHeight="1">
      <x:c r="A23" s="2" t="str">
        <x:v>B0018</x:v>
      </x:c>
      <x:c r="B23" s="2" t="str">
        <x:v>GIRO</x:v>
      </x:c>
      <x:c r="C23" s="13" t="n">
        <x:v>45243</x:v>
      </x:c>
      <x:c r="D23" s="14" t="str">
        <x:v>Alltagshilfe Mohnblüte GmbH</x:v>
      </x:c>
      <x:c r="E23" s="14" t="str">
        <x:v>Haushaltshilfe Rechnung MH-2023-11</x:v>
      </x:c>
      <x:c r="F23" s="12" t="n">
        <x:v>-126.5</x:v>
      </x:c>
      <x:c r="G23" s="13" t="n">
        <x:v>45243</x:v>
      </x:c>
      <x:c r="H23" s="2" t="str">
        <x:v>02_Konten/GIRO_2023-11.pdf</x:v>
      </x:c>
      <x:c r="I23" s="2" t="str">
        <x:v>MH-2023-11</x:v>
      </x:c>
      <x:c r="J23" s="2" t="str">
        <x:v>B0018</x:v>
      </x:c>
    </x:row>
    <x:row r="24" ht="35" customHeight="1">
      <x:c r="A24" s="2" t="str">
        <x:v>B0019</x:v>
      </x:c>
      <x:c r="B24" s="2" t="str">
        <x:v>GIRO</x:v>
      </x:c>
      <x:c r="C24" s="13" t="n">
        <x:v>45244</x:v>
      </x:c>
      <x:c r="D24" s="14" t="str">
        <x:v>Frischemarkt Karow</x:v>
      </x:c>
      <x:c r="E24" s="14" t="str">
        <x:v>Kartenzahlung Lebensmittel, Belegserie FK 2023-11</x:v>
      </x:c>
      <x:c r="F24" s="12" t="n">
        <x:v>-216.37</x:v>
      </x:c>
      <x:c r="G24" s="13" t="n">
        <x:v>45244</x:v>
      </x:c>
      <x:c r="H24" s="2" t="str">
        <x:v>02_Konten/GIRO_2023-11.pdf</x:v>
      </x:c>
      <x:c r="I24" s="2" t="str"/>
      <x:c r="J24" s="2" t="str">
        <x:v>B0019</x:v>
      </x:c>
    </x:row>
    <x:row r="25" ht="35" customHeight="1">
      <x:c r="A25" s="2" t="str">
        <x:v>B0020</x:v>
      </x:c>
      <x:c r="B25" s="2" t="str">
        <x:v>GIRO</x:v>
      </x:c>
      <x:c r="C25" s="13" t="n">
        <x:v>45245</x:v>
      </x:c>
      <x:c r="D25" s="14" t="str">
        <x:v>Apotheke Silberblatt</x:v>
      </x:c>
      <x:c r="E25" s="14" t="str">
        <x:v>Zuzahlung und Pflegebedarf 2023-11</x:v>
      </x:c>
      <x:c r="F25" s="12" t="n">
        <x:v>-25.63</x:v>
      </x:c>
      <x:c r="G25" s="13" t="n">
        <x:v>45245</x:v>
      </x:c>
      <x:c r="H25" s="2" t="str">
        <x:v>02_Konten/GIRO_2023-11.pdf</x:v>
      </x:c>
      <x:c r="I25" s="2" t="str"/>
      <x:c r="J25" s="2" t="str">
        <x:v>B0020</x:v>
      </x:c>
    </x:row>
    <x:row r="26" ht="35" customHeight="1">
      <x:c r="A26" s="2" t="str">
        <x:v>B0021</x:v>
      </x:c>
      <x:c r="B26" s="2" t="str">
        <x:v>GIRO</x:v>
      </x:c>
      <x:c r="C26" s="13" t="n">
        <x:v>45250</x:v>
      </x:c>
      <x:c r="D26" s="14" t="str">
        <x:v>Geldautomat Karow</x:v>
      </x:c>
      <x:c r="E26" s="14" t="str">
        <x:v>Bargeldauszahlung Karte 0441, Terminal KA-03</x:v>
      </x:c>
      <x:c r="F26" s="12" t="n">
        <x:v>-200</x:v>
      </x:c>
      <x:c r="G26" s="13" t="n">
        <x:v>45250</x:v>
      </x:c>
      <x:c r="H26" s="2" t="str">
        <x:v>02_Konten/GIRO_2023-11.pdf</x:v>
      </x:c>
      <x:c r="I26" s="2" t="str"/>
      <x:c r="J26" s="2" t="str">
        <x:v>B0021</x:v>
      </x:c>
    </x:row>
    <x:row r="27" ht="35" customHeight="1">
      <x:c r="A27" s="2" t="str">
        <x:v>B0022</x:v>
      </x:c>
      <x:c r="B27" s="2" t="str">
        <x:v>GIRO</x:v>
      </x:c>
      <x:c r="C27" s="13" t="n">
        <x:v>45250</x:v>
      </x:c>
      <x:c r="D27" s="14" t="str">
        <x:v>Tierladen Pfötchen</x:v>
      </x:c>
      <x:c r="E27" s="14" t="str">
        <x:v>Futter und Streu für Kater Mürbchen</x:v>
      </x:c>
      <x:c r="F27" s="12" t="n">
        <x:v>-48.5</x:v>
      </x:c>
      <x:c r="G27" s="13" t="n">
        <x:v>45250</x:v>
      </x:c>
      <x:c r="H27" s="2" t="str">
        <x:v>02_Konten/GIRO_2023-11.pdf</x:v>
      </x:c>
      <x:c r="I27" s="2" t="str"/>
      <x:c r="J27" s="2" t="str">
        <x:v>B0022</x:v>
      </x:c>
    </x:row>
    <x:row r="28" ht="35" customHeight="1">
      <x:c r="A28" s="2" t="str">
        <x:v>B0023</x:v>
      </x:c>
      <x:c r="B28" s="2" t="str">
        <x:v>GIRO</x:v>
      </x:c>
      <x:c r="C28" s="13" t="n">
        <x:v>45252</x:v>
      </x:c>
      <x:c r="D28" s="14" t="str">
        <x:v>SofaKino Digital GmbH</x:v>
      </x:c>
      <x:c r="E28" s="14" t="str">
        <x:v>Monatsabo SK-77380 / 2023-11</x:v>
      </x:c>
      <x:c r="F28" s="12" t="n">
        <x:v>-12.99</x:v>
      </x:c>
      <x:c r="G28" s="13" t="n">
        <x:v>45252</x:v>
      </x:c>
      <x:c r="H28" s="2" t="str">
        <x:v>02_Konten/GIRO_2023-11.pdf</x:v>
      </x:c>
      <x:c r="I28" s="2" t="str"/>
      <x:c r="J28" s="2" t="str">
        <x:v>B0023</x:v>
      </x:c>
    </x:row>
    <x:row r="29" ht="35" customHeight="1">
      <x:c r="A29" s="2" t="str">
        <x:v>B0024</x:v>
      </x:c>
      <x:c r="B29" s="2" t="str">
        <x:v>GIRO</x:v>
      </x:c>
      <x:c r="C29" s="13" t="n">
        <x:v>45257</x:v>
      </x:c>
      <x:c r="D29" s="14" t="str">
        <x:v>Fensterbank Spree eG</x:v>
      </x:c>
      <x:c r="E29" s="14" t="str">
        <x:v>Kontoführung 2023-11</x:v>
      </x:c>
      <x:c r="F29" s="12" t="n">
        <x:v>-6.9</x:v>
      </x:c>
      <x:c r="G29" s="13" t="n">
        <x:v>45257</x:v>
      </x:c>
      <x:c r="H29" s="2" t="str">
        <x:v>02_Konten/GIRO_2023-11.pdf</x:v>
      </x:c>
      <x:c r="I29" s="2" t="str"/>
      <x:c r="J29" s="2" t="str">
        <x:v>B0024</x:v>
      </x:c>
    </x:row>
    <x:row r="30" ht="35" customHeight="1">
      <x:c r="A30" s="2" t="str">
        <x:v>B0013</x:v>
      </x:c>
      <x:c r="B30" s="2" t="str">
        <x:v>GIRO</x:v>
      </x:c>
      <x:c r="C30" s="13" t="n">
        <x:v>45258</x:v>
      </x:c>
      <x:c r="D30" s="14" t="str">
        <x:v>Rentenstelle Nord</x:v>
      </x:c>
      <x:c r="E30" s="14" t="str">
        <x:v>Altersrente 2023-11</x:v>
      </x:c>
      <x:c r="F30" s="12" t="n">
        <x:v>1900</x:v>
      </x:c>
      <x:c r="G30" s="13" t="n">
        <x:v>45258</x:v>
      </x:c>
      <x:c r="H30" s="2" t="str">
        <x:v>02_Konten/GIRO_2023-11.pdf</x:v>
      </x:c>
      <x:c r="I30" s="2" t="str"/>
      <x:c r="J30" s="2" t="str">
        <x:v>B0013</x:v>
      </x:c>
    </x:row>
    <x:row r="31" ht="35" customHeight="1">
      <x:c r="A31" s="2" t="str">
        <x:v>B0014</x:v>
      </x:c>
      <x:c r="B31" s="2" t="str">
        <x:v>GIRO</x:v>
      </x:c>
      <x:c r="C31" s="13" t="n">
        <x:v>45258</x:v>
      </x:c>
      <x:c r="D31" s="14" t="str">
        <x:v>Rentenstelle Nord</x:v>
      </x:c>
      <x:c r="E31" s="14" t="str">
        <x:v>Hinterbliebenenrente 2023-11</x:v>
      </x:c>
      <x:c r="F31" s="12" t="n">
        <x:v>485</x:v>
      </x:c>
      <x:c r="G31" s="13" t="n">
        <x:v>45258</x:v>
      </x:c>
      <x:c r="H31" s="2" t="str">
        <x:v>02_Konten/GIRO_2023-11.pdf</x:v>
      </x:c>
      <x:c r="I31" s="2" t="str"/>
      <x:c r="J31" s="2" t="str">
        <x:v>B0014</x:v>
      </x:c>
    </x:row>
    <x:row r="32" ht="35" customHeight="1">
      <x:c r="A32" s="2" t="str">
        <x:v>B0027</x:v>
      </x:c>
      <x:c r="B32" s="2" t="str">
        <x:v>GIRO</x:v>
      </x:c>
      <x:c r="C32" s="13" t="n">
        <x:v>45264</x:v>
      </x:c>
      <x:c r="D32" s="14" t="str">
        <x:v>Hausverwaltung Lindenblatt KG</x:v>
      </x:c>
      <x:c r="E32" s="14" t="str">
        <x:v>Warmmiete Fliederbogen 17 / 2023-12</x:v>
      </x:c>
      <x:c r="F32" s="12" t="n">
        <x:v>-780</x:v>
      </x:c>
      <x:c r="G32" s="13" t="n">
        <x:v>45264</x:v>
      </x:c>
      <x:c r="H32" s="2" t="str">
        <x:v>02_Konten/GIRO_2023-12.pdf</x:v>
      </x:c>
      <x:c r="I32" s="2" t="str"/>
      <x:c r="J32" s="2" t="str">
        <x:v>B0027</x:v>
      </x:c>
    </x:row>
    <x:row r="33" ht="35" customHeight="1">
      <x:c r="A33" s="2" t="str">
        <x:v>B0028</x:v>
      </x:c>
      <x:c r="B33" s="2" t="str">
        <x:v>GIRO</x:v>
      </x:c>
      <x:c r="C33" s="13" t="n">
        <x:v>45266</x:v>
      </x:c>
      <x:c r="D33" s="14" t="str">
        <x:v>Nordlicht Energie Berlin GmbH</x:v>
      </x:c>
      <x:c r="E33" s="14" t="str">
        <x:v>Abschlag Kundennummer NE-48017 / 2023-12</x:v>
      </x:c>
      <x:c r="F33" s="12" t="n">
        <x:v>-72</x:v>
      </x:c>
      <x:c r="G33" s="13" t="n">
        <x:v>45266</x:v>
      </x:c>
      <x:c r="H33" s="2" t="str">
        <x:v>02_Konten/GIRO_2023-12.pdf</x:v>
      </x:c>
      <x:c r="I33" s="2" t="str"/>
      <x:c r="J33" s="2" t="str">
        <x:v>B0028</x:v>
      </x:c>
    </x:row>
    <x:row r="34" ht="35" customHeight="1">
      <x:c r="A34" s="2" t="str">
        <x:v>B0029</x:v>
      </x:c>
      <x:c r="B34" s="2" t="str">
        <x:v>GIRO</x:v>
      </x:c>
      <x:c r="C34" s="13" t="n">
        <x:v>45268</x:v>
      </x:c>
      <x:c r="D34" s="14" t="str">
        <x:v>Sprechfink Telekom GmbH</x:v>
      </x:c>
      <x:c r="E34" s="14" t="str">
        <x:v>Festnetz und Internet SP-118044 / 2023-12</x:v>
      </x:c>
      <x:c r="F34" s="12" t="n">
        <x:v>-39.99</x:v>
      </x:c>
      <x:c r="G34" s="13" t="n">
        <x:v>45268</x:v>
      </x:c>
      <x:c r="H34" s="2" t="str">
        <x:v>02_Konten/GIRO_2023-12.pdf</x:v>
      </x:c>
      <x:c r="I34" s="2" t="str"/>
      <x:c r="J34" s="2" t="str">
        <x:v>B0029</x:v>
      </x:c>
    </x:row>
    <x:row r="35" ht="35" customHeight="1">
      <x:c r="A35" s="2" t="str">
        <x:v>B0030</x:v>
      </x:c>
      <x:c r="B35" s="2" t="str">
        <x:v>GIRO</x:v>
      </x:c>
      <x:c r="C35" s="13" t="n">
        <x:v>45272</x:v>
      </x:c>
      <x:c r="D35" s="14" t="str">
        <x:v>Alltagshilfe Mohnblüte GmbH</x:v>
      </x:c>
      <x:c r="E35" s="14" t="str">
        <x:v>Haushaltshilfe Rechnung MH-2023-12</x:v>
      </x:c>
      <x:c r="F35" s="12" t="n">
        <x:v>-126.5</x:v>
      </x:c>
      <x:c r="G35" s="13" t="n">
        <x:v>45272</x:v>
      </x:c>
      <x:c r="H35" s="2" t="str">
        <x:v>02_Konten/GIRO_2023-12.pdf</x:v>
      </x:c>
      <x:c r="I35" s="2" t="str">
        <x:v>MH-2023-12</x:v>
      </x:c>
      <x:c r="J35" s="2" t="str">
        <x:v>B0030</x:v>
      </x:c>
    </x:row>
    <x:row r="36" ht="35" customHeight="1">
      <x:c r="A36" s="2" t="str">
        <x:v>B0031</x:v>
      </x:c>
      <x:c r="B36" s="2" t="str">
        <x:v>GIRO</x:v>
      </x:c>
      <x:c r="C36" s="13" t="n">
        <x:v>45274</x:v>
      </x:c>
      <x:c r="D36" s="14" t="str">
        <x:v>Frischemarkt Karow</x:v>
      </x:c>
      <x:c r="E36" s="14" t="str">
        <x:v>Kartenzahlung Lebensmittel, Belegserie FK 2023-12</x:v>
      </x:c>
      <x:c r="F36" s="12" t="n">
        <x:v>-217.74</x:v>
      </x:c>
      <x:c r="G36" s="13" t="n">
        <x:v>45274</x:v>
      </x:c>
      <x:c r="H36" s="2" t="str">
        <x:v>02_Konten/GIRO_2023-12.pdf</x:v>
      </x:c>
      <x:c r="I36" s="2" t="str"/>
      <x:c r="J36" s="2" t="str">
        <x:v>B0031</x:v>
      </x:c>
    </x:row>
    <x:row r="37" ht="35" customHeight="1">
      <x:c r="A37" s="2" t="str">
        <x:v>B0032</x:v>
      </x:c>
      <x:c r="B37" s="2" t="str">
        <x:v>GIRO</x:v>
      </x:c>
      <x:c r="C37" s="13" t="n">
        <x:v>45275</x:v>
      </x:c>
      <x:c r="D37" s="14" t="str">
        <x:v>Apotheke Silberblatt</x:v>
      </x:c>
      <x:c r="E37" s="14" t="str">
        <x:v>Zuzahlung und Pflegebedarf 2023-12</x:v>
      </x:c>
      <x:c r="F37" s="12" t="n">
        <x:v>-26.76</x:v>
      </x:c>
      <x:c r="G37" s="13" t="n">
        <x:v>45275</x:v>
      </x:c>
      <x:c r="H37" s="2" t="str">
        <x:v>02_Konten/GIRO_2023-12.pdf</x:v>
      </x:c>
      <x:c r="I37" s="2" t="str"/>
      <x:c r="J37" s="2" t="str">
        <x:v>B0032</x:v>
      </x:c>
    </x:row>
    <x:row r="38" ht="35" customHeight="1">
      <x:c r="A38" s="2" t="str">
        <x:v>B0033</x:v>
      </x:c>
      <x:c r="B38" s="2" t="str">
        <x:v>GIRO</x:v>
      </x:c>
      <x:c r="C38" s="13" t="n">
        <x:v>45278</x:v>
      </x:c>
      <x:c r="D38" s="14" t="str">
        <x:v>Geldautomat Karow</x:v>
      </x:c>
      <x:c r="E38" s="14" t="str">
        <x:v>Bargeldauszahlung Karte 0441, Terminal KA-03</x:v>
      </x:c>
      <x:c r="F38" s="12" t="n">
        <x:v>-200</x:v>
      </x:c>
      <x:c r="G38" s="13" t="n">
        <x:v>45278</x:v>
      </x:c>
      <x:c r="H38" s="2" t="str">
        <x:v>02_Konten/GIRO_2023-12.pdf</x:v>
      </x:c>
      <x:c r="I38" s="2" t="str"/>
      <x:c r="J38" s="2" t="str">
        <x:v>B0033</x:v>
      </x:c>
    </x:row>
    <x:row r="39" ht="35" customHeight="1">
      <x:c r="A39" s="2" t="str">
        <x:v>B0037</x:v>
      </x:c>
      <x:c r="B39" s="2" t="str">
        <x:v>GIRO</x:v>
      </x:c>
      <x:c r="C39" s="13" t="n">
        <x:v>45279</x:v>
      </x:c>
      <x:c r="D39" s="14" t="str">
        <x:v>Kirchengemeinde Am Fliederbogen</x:v>
      </x:c>
      <x:c r="E39" s="14" t="str">
        <x:v>Gemeindespende</x:v>
      </x:c>
      <x:c r="F39" s="12" t="n">
        <x:v>-15</x:v>
      </x:c>
      <x:c r="G39" s="13" t="n">
        <x:v>45279</x:v>
      </x:c>
      <x:c r="H39" s="2" t="str">
        <x:v>02_Konten/GIRO_2023-12.pdf</x:v>
      </x:c>
      <x:c r="I39" s="2" t="str"/>
      <x:c r="J39" s="2" t="str">
        <x:v>B0037</x:v>
      </x:c>
    </x:row>
    <x:row r="40" ht="35" customHeight="1">
      <x:c r="A40" s="2" t="str">
        <x:v>B0034</x:v>
      </x:c>
      <x:c r="B40" s="2" t="str">
        <x:v>GIRO</x:v>
      </x:c>
      <x:c r="C40" s="13" t="n">
        <x:v>45280</x:v>
      </x:c>
      <x:c r="D40" s="14" t="str">
        <x:v>Tierladen Pfötchen</x:v>
      </x:c>
      <x:c r="E40" s="14" t="str">
        <x:v>Futter und Streu für Kater Mürbchen</x:v>
      </x:c>
      <x:c r="F40" s="12" t="n">
        <x:v>-48.5</x:v>
      </x:c>
      <x:c r="G40" s="13" t="n">
        <x:v>45280</x:v>
      </x:c>
      <x:c r="H40" s="2" t="str">
        <x:v>02_Konten/GIRO_2023-12.pdf</x:v>
      </x:c>
      <x:c r="I40" s="2" t="str"/>
      <x:c r="J40" s="2" t="str">
        <x:v>B0034</x:v>
      </x:c>
    </x:row>
    <x:row r="41" ht="35" customHeight="1">
      <x:c r="A41" s="2" t="str">
        <x:v>B0038</x:v>
      </x:c>
      <x:c r="B41" s="2" t="str">
        <x:v>GIRO</x:v>
      </x:c>
      <x:c r="C41" s="13" t="n">
        <x:v>45281</x:v>
      </x:c>
      <x:c r="D41" s="14" t="str">
        <x:v>Adelheid Pfister Sparen</x:v>
      </x:c>
      <x:c r="E41" s="14" t="str">
        <x:v>Umbuchung auf eigenes Sparkonto</x:v>
      </x:c>
      <x:c r="F41" s="12" t="n">
        <x:v>-250</x:v>
      </x:c>
      <x:c r="G41" s="13" t="n">
        <x:v>45281</x:v>
      </x:c>
      <x:c r="H41" s="2" t="str">
        <x:v>02_Konten/GIRO_2023-12.pdf</x:v>
      </x:c>
      <x:c r="I41" s="2" t="str"/>
      <x:c r="J41" s="2" t="str">
        <x:v>B0038</x:v>
      </x:c>
    </x:row>
    <x:row r="42" ht="35" customHeight="1">
      <x:c r="A42" s="2" t="str">
        <x:v>B0039</x:v>
      </x:c>
      <x:c r="B42" s="2" t="str">
        <x:v>SPAR</x:v>
      </x:c>
      <x:c r="C42" s="13" t="n">
        <x:v>45281</x:v>
      </x:c>
      <x:c r="D42" s="14" t="str">
        <x:v>Adelheid Pfister Giro</x:v>
      </x:c>
      <x:c r="E42" s="14" t="str">
        <x:v>Umbuchung vom eigenen Girokonto</x:v>
      </x:c>
      <x:c r="F42" s="12" t="n">
        <x:v>250</x:v>
      </x:c>
      <x:c r="G42" s="13" t="n">
        <x:v>45281</x:v>
      </x:c>
      <x:c r="H42" s="2" t="str">
        <x:v>02_Konten/SPAR_2023-12.pdf</x:v>
      </x:c>
      <x:c r="I42" s="2" t="str"/>
      <x:c r="J42" s="2" t="str">
        <x:v>B0039</x:v>
      </x:c>
    </x:row>
    <x:row r="43" ht="35" customHeight="1">
      <x:c r="A43" s="2" t="str">
        <x:v>B0035</x:v>
      </x:c>
      <x:c r="B43" s="2" t="str">
        <x:v>GIRO</x:v>
      </x:c>
      <x:c r="C43" s="13" t="n">
        <x:v>45282</x:v>
      </x:c>
      <x:c r="D43" s="14" t="str">
        <x:v>SofaKino Digital GmbH</x:v>
      </x:c>
      <x:c r="E43" s="14" t="str">
        <x:v>Monatsabo SK-77380 / 2023-12</x:v>
      </x:c>
      <x:c r="F43" s="12" t="n">
        <x:v>-12.99</x:v>
      </x:c>
      <x:c r="G43" s="13" t="n">
        <x:v>45282</x:v>
      </x:c>
      <x:c r="H43" s="2" t="str">
        <x:v>02_Konten/GIRO_2023-12.pdf</x:v>
      </x:c>
      <x:c r="I43" s="2" t="str"/>
      <x:c r="J43" s="2" t="str">
        <x:v>B0035</x:v>
      </x:c>
    </x:row>
    <x:row r="44" ht="35" customHeight="1">
      <x:c r="A44" s="2" t="str">
        <x:v>B0036</x:v>
      </x:c>
      <x:c r="B44" s="2" t="str">
        <x:v>GIRO</x:v>
      </x:c>
      <x:c r="C44" s="13" t="n">
        <x:v>45286</x:v>
      </x:c>
      <x:c r="D44" s="14" t="str">
        <x:v>Fensterbank Spree eG</x:v>
      </x:c>
      <x:c r="E44" s="14" t="str">
        <x:v>Kontoführung 2023-12</x:v>
      </x:c>
      <x:c r="F44" s="12" t="n">
        <x:v>-6.9</x:v>
      </x:c>
      <x:c r="G44" s="13" t="n">
        <x:v>45286</x:v>
      </x:c>
      <x:c r="H44" s="2" t="str">
        <x:v>02_Konten/GIRO_2023-12.pdf</x:v>
      </x:c>
      <x:c r="I44" s="2" t="str"/>
      <x:c r="J44" s="2" t="str">
        <x:v>B0036</x:v>
      </x:c>
    </x:row>
    <x:row r="45" ht="35" customHeight="1">
      <x:c r="A45" s="2" t="str">
        <x:v>B0025</x:v>
      </x:c>
      <x:c r="B45" s="2" t="str">
        <x:v>GIRO</x:v>
      </x:c>
      <x:c r="C45" s="13" t="n">
        <x:v>45288</x:v>
      </x:c>
      <x:c r="D45" s="14" t="str">
        <x:v>Rentenstelle Nord</x:v>
      </x:c>
      <x:c r="E45" s="14" t="str">
        <x:v>Altersrente 2023-12</x:v>
      </x:c>
      <x:c r="F45" s="12" t="n">
        <x:v>1900</x:v>
      </x:c>
      <x:c r="G45" s="13" t="n">
        <x:v>45288</x:v>
      </x:c>
      <x:c r="H45" s="2" t="str">
        <x:v>02_Konten/GIRO_2023-12.pdf</x:v>
      </x:c>
      <x:c r="I45" s="2" t="str"/>
      <x:c r="J45" s="2" t="str">
        <x:v>B0025</x:v>
      </x:c>
    </x:row>
    <x:row r="46" ht="35" customHeight="1">
      <x:c r="A46" s="2" t="str">
        <x:v>B0026</x:v>
      </x:c>
      <x:c r="B46" s="2" t="str">
        <x:v>GIRO</x:v>
      </x:c>
      <x:c r="C46" s="13" t="n">
        <x:v>45288</x:v>
      </x:c>
      <x:c r="D46" s="14" t="str">
        <x:v>Rentenstelle Nord</x:v>
      </x:c>
      <x:c r="E46" s="14" t="str">
        <x:v>Hinterbliebenenrente 2023-12</x:v>
      </x:c>
      <x:c r="F46" s="12" t="n">
        <x:v>485</x:v>
      </x:c>
      <x:c r="G46" s="13" t="n">
        <x:v>45288</x:v>
      </x:c>
      <x:c r="H46" s="2" t="str">
        <x:v>02_Konten/GIRO_2023-12.pdf</x:v>
      </x:c>
      <x:c r="I46" s="2" t="str"/>
      <x:c r="J46" s="2" t="str">
        <x:v>B0026</x:v>
      </x:c>
    </x:row>
    <x:row r="47" ht="35" customHeight="1">
      <x:c r="A47" s="2" t="str">
        <x:v>B0040</x:v>
      </x:c>
      <x:c r="B47" s="2" t="str">
        <x:v>SPAR</x:v>
      </x:c>
      <x:c r="C47" s="13" t="n">
        <x:v>45291</x:v>
      </x:c>
      <x:c r="D47" s="14" t="str">
        <x:v>Fensterbank Spree eG</x:v>
      </x:c>
      <x:c r="E47" s="14" t="str">
        <x:v>Habenzinsen Jahresabschluss</x:v>
      </x:c>
      <x:c r="F47" s="12" t="n">
        <x:v>90</x:v>
      </x:c>
      <x:c r="G47" s="13" t="n">
        <x:v>45291</x:v>
      </x:c>
      <x:c r="H47" s="2" t="str">
        <x:v>02_Konten/SPAR_2023-12.pdf</x:v>
      </x:c>
      <x:c r="I47" s="2" t="str"/>
      <x:c r="J47" s="2" t="str">
        <x:v>B0040</x:v>
      </x:c>
    </x:row>
    <x:row r="48" ht="35" customHeight="1">
      <x:c r="A48" s="2" t="str">
        <x:v>B0043</x:v>
      </x:c>
      <x:c r="B48" s="2" t="str">
        <x:v>GIRO</x:v>
      </x:c>
      <x:c r="C48" s="13" t="n">
        <x:v>45294</x:v>
      </x:c>
      <x:c r="D48" s="14" t="str">
        <x:v>Hausverwaltung Lindenblatt KG</x:v>
      </x:c>
      <x:c r="E48" s="14" t="str">
        <x:v>Warmmiete Fliederbogen 17 / 2024-01</x:v>
      </x:c>
      <x:c r="F48" s="12" t="n">
        <x:v>-780</x:v>
      </x:c>
      <x:c r="G48" s="13" t="n">
        <x:v>45294</x:v>
      </x:c>
      <x:c r="H48" s="2" t="str">
        <x:v>02_Konten/GIRO_2024-01.pdf</x:v>
      </x:c>
      <x:c r="I48" s="2" t="str"/>
      <x:c r="J48" s="2" t="str">
        <x:v>B0043</x:v>
      </x:c>
    </x:row>
    <x:row r="49" ht="35" customHeight="1">
      <x:c r="A49" s="2" t="str">
        <x:v>B0044</x:v>
      </x:c>
      <x:c r="B49" s="2" t="str">
        <x:v>GIRO</x:v>
      </x:c>
      <x:c r="C49" s="13" t="n">
        <x:v>45299</x:v>
      </x:c>
      <x:c r="D49" s="14" t="str">
        <x:v>Nordlicht Energie Berlin GmbH</x:v>
      </x:c>
      <x:c r="E49" s="14" t="str">
        <x:v>Abschlag Kundennummer NE-48017 / 2024-01</x:v>
      </x:c>
      <x:c r="F49" s="12" t="n">
        <x:v>-72</x:v>
      </x:c>
      <x:c r="G49" s="13" t="n">
        <x:v>45299</x:v>
      </x:c>
      <x:c r="H49" s="2" t="str">
        <x:v>02_Konten/GIRO_2024-01.pdf</x:v>
      </x:c>
      <x:c r="I49" s="2" t="str"/>
      <x:c r="J49" s="2" t="str">
        <x:v>B0044</x:v>
      </x:c>
    </x:row>
    <x:row r="50" ht="35" customHeight="1">
      <x:c r="A50" s="2" t="str">
        <x:v>B0045</x:v>
      </x:c>
      <x:c r="B50" s="2" t="str">
        <x:v>GIRO</x:v>
      </x:c>
      <x:c r="C50" s="13" t="n">
        <x:v>45299</x:v>
      </x:c>
      <x:c r="D50" s="14" t="str">
        <x:v>Sprechfink Telekom GmbH</x:v>
      </x:c>
      <x:c r="E50" s="14" t="str">
        <x:v>Festnetz und Internet SP-118044 / 2024-01</x:v>
      </x:c>
      <x:c r="F50" s="12" t="n">
        <x:v>-39.99</x:v>
      </x:c>
      <x:c r="G50" s="13" t="n">
        <x:v>45299</x:v>
      </x:c>
      <x:c r="H50" s="2" t="str">
        <x:v>02_Konten/GIRO_2024-01.pdf</x:v>
      </x:c>
      <x:c r="I50" s="2" t="str"/>
      <x:c r="J50" s="2" t="str">
        <x:v>B0045</x:v>
      </x:c>
    </x:row>
    <x:row r="51" ht="35" customHeight="1">
      <x:c r="A51" s="2" t="str">
        <x:v>B0046</x:v>
      </x:c>
      <x:c r="B51" s="2" t="str">
        <x:v>GIRO</x:v>
      </x:c>
      <x:c r="C51" s="13" t="n">
        <x:v>45303</x:v>
      </x:c>
      <x:c r="D51" s="14" t="str">
        <x:v>Alltagshilfe Mohnblüte GmbH</x:v>
      </x:c>
      <x:c r="E51" s="14" t="str">
        <x:v>Haushaltshilfe Rechnung MH-2024-01</x:v>
      </x:c>
      <x:c r="F51" s="12" t="n">
        <x:v>-126.5</x:v>
      </x:c>
      <x:c r="G51" s="13" t="n">
        <x:v>45303</x:v>
      </x:c>
      <x:c r="H51" s="2" t="str">
        <x:v>02_Konten/GIRO_2024-01.pdf</x:v>
      </x:c>
      <x:c r="I51" s="2" t="str">
        <x:v>MH-2024-01</x:v>
      </x:c>
      <x:c r="J51" s="2" t="str">
        <x:v>B0046</x:v>
      </x:c>
    </x:row>
    <x:row r="52" ht="35" customHeight="1">
      <x:c r="A52" s="2" t="str">
        <x:v>B0047</x:v>
      </x:c>
      <x:c r="B52" s="2" t="str">
        <x:v>GIRO</x:v>
      </x:c>
      <x:c r="C52" s="13" t="n">
        <x:v>45306</x:v>
      </x:c>
      <x:c r="D52" s="14" t="str">
        <x:v>Frischemarkt Karow</x:v>
      </x:c>
      <x:c r="E52" s="14" t="str">
        <x:v>Kartenzahlung Lebensmittel, Belegserie FK 2024-01</x:v>
      </x:c>
      <x:c r="F52" s="12" t="n">
        <x:v>-219.11</x:v>
      </x:c>
      <x:c r="G52" s="13" t="n">
        <x:v>45306</x:v>
      </x:c>
      <x:c r="H52" s="2" t="str">
        <x:v>02_Konten/GIRO_2024-01.pdf</x:v>
      </x:c>
      <x:c r="I52" s="2" t="str"/>
      <x:c r="J52" s="2" t="str">
        <x:v>B0047</x:v>
      </x:c>
    </x:row>
    <x:row r="53" ht="35" customHeight="1">
      <x:c r="A53" s="2" t="str">
        <x:v>B0048</x:v>
      </x:c>
      <x:c r="B53" s="2" t="str">
        <x:v>GIRO</x:v>
      </x:c>
      <x:c r="C53" s="13" t="n">
        <x:v>45306</x:v>
      </x:c>
      <x:c r="D53" s="14" t="str">
        <x:v>Apotheke Silberblatt</x:v>
      </x:c>
      <x:c r="E53" s="14" t="str">
        <x:v>Zuzahlung und Pflegebedarf 2024-01</x:v>
      </x:c>
      <x:c r="F53" s="12" t="n">
        <x:v>-27.89</x:v>
      </x:c>
      <x:c r="G53" s="13" t="n">
        <x:v>45306</x:v>
      </x:c>
      <x:c r="H53" s="2" t="str">
        <x:v>02_Konten/GIRO_2024-01.pdf</x:v>
      </x:c>
      <x:c r="I53" s="2" t="str">
        <x:v>AP-2024-01</x:v>
      </x:c>
      <x:c r="J53" s="2" t="str">
        <x:v>B0048</x:v>
      </x:c>
    </x:row>
    <x:row r="54" ht="35" customHeight="1">
      <x:c r="A54" s="2" t="str">
        <x:v>B0049</x:v>
      </x:c>
      <x:c r="B54" s="2" t="str">
        <x:v>GIRO</x:v>
      </x:c>
      <x:c r="C54" s="13" t="n">
        <x:v>45309</x:v>
      </x:c>
      <x:c r="D54" s="14" t="str">
        <x:v>Geldautomat Karow</x:v>
      </x:c>
      <x:c r="E54" s="14" t="str">
        <x:v>Bargeldauszahlung Karte 0441, Terminal KA-03</x:v>
      </x:c>
      <x:c r="F54" s="12" t="n">
        <x:v>-200</x:v>
      </x:c>
      <x:c r="G54" s="13" t="n">
        <x:v>45309</x:v>
      </x:c>
      <x:c r="H54" s="2" t="str">
        <x:v>02_Konten/GIRO_2024-01.pdf</x:v>
      </x:c>
      <x:c r="I54" s="2" t="str"/>
      <x:c r="J54" s="2" t="str">
        <x:v>B0049</x:v>
      </x:c>
    </x:row>
    <x:row r="55" ht="35" customHeight="1">
      <x:c r="A55" s="2" t="str">
        <x:v>B0050</x:v>
      </x:c>
      <x:c r="B55" s="2" t="str">
        <x:v>GIRO</x:v>
      </x:c>
      <x:c r="C55" s="13" t="n">
        <x:v>45313</x:v>
      </x:c>
      <x:c r="D55" s="14" t="str">
        <x:v>Tierladen Pfötchen</x:v>
      </x:c>
      <x:c r="E55" s="14" t="str">
        <x:v>Futter und Streu für Kater Mürbchen</x:v>
      </x:c>
      <x:c r="F55" s="12" t="n">
        <x:v>-48.5</x:v>
      </x:c>
      <x:c r="G55" s="13" t="n">
        <x:v>45313</x:v>
      </x:c>
      <x:c r="H55" s="2" t="str">
        <x:v>02_Konten/GIRO_2024-01.pdf</x:v>
      </x:c>
      <x:c r="I55" s="2" t="str"/>
      <x:c r="J55" s="2" t="str">
        <x:v>B0050</x:v>
      </x:c>
    </x:row>
    <x:row r="56" ht="35" customHeight="1">
      <x:c r="A56" s="2" t="str">
        <x:v>B0051</x:v>
      </x:c>
      <x:c r="B56" s="2" t="str">
        <x:v>GIRO</x:v>
      </x:c>
      <x:c r="C56" s="13" t="n">
        <x:v>45313</x:v>
      </x:c>
      <x:c r="D56" s="14" t="str">
        <x:v>SofaKino Digital GmbH</x:v>
      </x:c>
      <x:c r="E56" s="14" t="str">
        <x:v>Monatsabo SK-77380 / 2024-01</x:v>
      </x:c>
      <x:c r="F56" s="12" t="n">
        <x:v>-12.99</x:v>
      </x:c>
      <x:c r="G56" s="13" t="n">
        <x:v>45313</x:v>
      </x:c>
      <x:c r="H56" s="2" t="str">
        <x:v>02_Konten/GIRO_2024-01.pdf</x:v>
      </x:c>
      <x:c r="I56" s="2" t="str"/>
      <x:c r="J56" s="2" t="str">
        <x:v>B0051</x:v>
      </x:c>
    </x:row>
    <x:row r="57" ht="35" customHeight="1">
      <x:c r="A57" s="2" t="str">
        <x:v>B0052</x:v>
      </x:c>
      <x:c r="B57" s="2" t="str">
        <x:v>GIRO</x:v>
      </x:c>
      <x:c r="C57" s="13" t="n">
        <x:v>45317</x:v>
      </x:c>
      <x:c r="D57" s="14" t="str">
        <x:v>Fensterbank Spree eG</x:v>
      </x:c>
      <x:c r="E57" s="14" t="str">
        <x:v>Kontoführung 2024-01</x:v>
      </x:c>
      <x:c r="F57" s="12" t="n">
        <x:v>-6.9</x:v>
      </x:c>
      <x:c r="G57" s="13" t="n">
        <x:v>45317</x:v>
      </x:c>
      <x:c r="H57" s="2" t="str">
        <x:v>02_Konten/GIRO_2024-01.pdf</x:v>
      </x:c>
      <x:c r="I57" s="2" t="str"/>
      <x:c r="J57" s="2" t="str">
        <x:v>B0052</x:v>
      </x:c>
    </x:row>
    <x:row r="58" ht="35" customHeight="1">
      <x:c r="A58" s="2" t="str">
        <x:v>B0041</x:v>
      </x:c>
      <x:c r="B58" s="2" t="str">
        <x:v>GIRO</x:v>
      </x:c>
      <x:c r="C58" s="13" t="n">
        <x:v>45320</x:v>
      </x:c>
      <x:c r="D58" s="14" t="str">
        <x:v>Rentenstelle Nord</x:v>
      </x:c>
      <x:c r="E58" s="14" t="str">
        <x:v>Altersrente 2024-01</x:v>
      </x:c>
      <x:c r="F58" s="12" t="n">
        <x:v>1900</x:v>
      </x:c>
      <x:c r="G58" s="13" t="n">
        <x:v>45320</x:v>
      </x:c>
      <x:c r="H58" s="2" t="str">
        <x:v>02_Konten/GIRO_2024-01.pdf</x:v>
      </x:c>
      <x:c r="I58" s="2" t="str"/>
      <x:c r="J58" s="2" t="str">
        <x:v>B0041</x:v>
      </x:c>
    </x:row>
    <x:row r="59" ht="35" customHeight="1">
      <x:c r="A59" s="2" t="str">
        <x:v>B0042</x:v>
      </x:c>
      <x:c r="B59" s="2" t="str">
        <x:v>GIRO</x:v>
      </x:c>
      <x:c r="C59" s="13" t="n">
        <x:v>45320</x:v>
      </x:c>
      <x:c r="D59" s="14" t="str">
        <x:v>Rentenstelle Nord</x:v>
      </x:c>
      <x:c r="E59" s="14" t="str">
        <x:v>Hinterbliebenenrente 2024-01</x:v>
      </x:c>
      <x:c r="F59" s="12" t="n">
        <x:v>485</x:v>
      </x:c>
      <x:c r="G59" s="13" t="n">
        <x:v>45320</x:v>
      </x:c>
      <x:c r="H59" s="2" t="str">
        <x:v>02_Konten/GIRO_2024-01.pdf</x:v>
      </x:c>
      <x:c r="I59" s="2" t="str"/>
      <x:c r="J59" s="2" t="str">
        <x:v>B0042</x:v>
      </x:c>
    </x:row>
    <x:row r="60" ht="35" customHeight="1">
      <x:c r="A60" s="2" t="str">
        <x:v>B0055</x:v>
      </x:c>
      <x:c r="B60" s="2" t="str">
        <x:v>GIRO</x:v>
      </x:c>
      <x:c r="C60" s="13" t="n">
        <x:v>45327</x:v>
      </x:c>
      <x:c r="D60" s="14" t="str">
        <x:v>Hausverwaltung Lindenblatt KG</x:v>
      </x:c>
      <x:c r="E60" s="14" t="str">
        <x:v>Warmmiete Fliederbogen 17 / 2024-02</x:v>
      </x:c>
      <x:c r="F60" s="12" t="n">
        <x:v>-780</x:v>
      </x:c>
      <x:c r="G60" s="13" t="n">
        <x:v>45327</x:v>
      </x:c>
      <x:c r="H60" s="2" t="str">
        <x:v>02_Konten/GIRO_2024-02.pdf</x:v>
      </x:c>
      <x:c r="I60" s="2" t="str"/>
      <x:c r="J60" s="2" t="str">
        <x:v>B0055</x:v>
      </x:c>
    </x:row>
    <x:row r="61" ht="35" customHeight="1">
      <x:c r="A61" s="2" t="str">
        <x:v>B0056</x:v>
      </x:c>
      <x:c r="B61" s="2" t="str">
        <x:v>GIRO</x:v>
      </x:c>
      <x:c r="C61" s="13" t="n">
        <x:v>45328</x:v>
      </x:c>
      <x:c r="D61" s="14" t="str">
        <x:v>Nordlicht Energie Berlin GmbH</x:v>
      </x:c>
      <x:c r="E61" s="14" t="str">
        <x:v>Abschlag Kundennummer NE-48017 / 2024-02</x:v>
      </x:c>
      <x:c r="F61" s="12" t="n">
        <x:v>-72</x:v>
      </x:c>
      <x:c r="G61" s="13" t="n">
        <x:v>45328</x:v>
      </x:c>
      <x:c r="H61" s="2" t="str">
        <x:v>02_Konten/GIRO_2024-02.pdf</x:v>
      </x:c>
      <x:c r="I61" s="2" t="str"/>
      <x:c r="J61" s="2" t="str">
        <x:v>B0056</x:v>
      </x:c>
    </x:row>
    <x:row r="62" ht="35" customHeight="1">
      <x:c r="A62" s="2" t="str">
        <x:v>B0057</x:v>
      </x:c>
      <x:c r="B62" s="2" t="str">
        <x:v>GIRO</x:v>
      </x:c>
      <x:c r="C62" s="13" t="n">
        <x:v>45330</x:v>
      </x:c>
      <x:c r="D62" s="14" t="str">
        <x:v>Sprechfink Telekom GmbH</x:v>
      </x:c>
      <x:c r="E62" s="14" t="str">
        <x:v>Festnetz und Internet SP-118044 / 2024-02</x:v>
      </x:c>
      <x:c r="F62" s="12" t="n">
        <x:v>-39.99</x:v>
      </x:c>
      <x:c r="G62" s="13" t="n">
        <x:v>45330</x:v>
      </x:c>
      <x:c r="H62" s="2" t="str">
        <x:v>02_Konten/GIRO_2024-02.pdf</x:v>
      </x:c>
      <x:c r="I62" s="2" t="str"/>
      <x:c r="J62" s="2" t="str">
        <x:v>B0057</x:v>
      </x:c>
    </x:row>
    <x:row r="63" ht="35" customHeight="1">
      <x:c r="A63" s="2" t="str">
        <x:v>B0058</x:v>
      </x:c>
      <x:c r="B63" s="2" t="str">
        <x:v>GIRO</x:v>
      </x:c>
      <x:c r="C63" s="13" t="n">
        <x:v>45334</x:v>
      </x:c>
      <x:c r="D63" s="14" t="str">
        <x:v>Alltagshilfe Mohnblüte GmbH</x:v>
      </x:c>
      <x:c r="E63" s="14" t="str">
        <x:v>Haushaltshilfe Rechnung MH-2024-02</x:v>
      </x:c>
      <x:c r="F63" s="12" t="n">
        <x:v>-126.5</x:v>
      </x:c>
      <x:c r="G63" s="13" t="n">
        <x:v>45334</x:v>
      </x:c>
      <x:c r="H63" s="2" t="str">
        <x:v>02_Konten/GIRO_2024-02.pdf</x:v>
      </x:c>
      <x:c r="I63" s="2" t="str">
        <x:v>MH-2024-02</x:v>
      </x:c>
      <x:c r="J63" s="2" t="str">
        <x:v>B0058</x:v>
      </x:c>
    </x:row>
    <x:row r="64" ht="35" customHeight="1">
      <x:c r="A64" s="2" t="str">
        <x:v>B0549</x:v>
      </x:c>
      <x:c r="B64" s="2" t="str">
        <x:v>GIRO</x:v>
      </x:c>
      <x:c r="C64" s="13" t="n">
        <x:v>45335</x:v>
      </x:c>
      <x:c r="D64" s="14" t="str">
        <x:v>Juna Özdemir-Pfister</x:v>
      </x:c>
      <x:c r="E64" s="14" t="str">
        <x:v>Zum Abschluss, Tante Adelheid</x:v>
      </x:c>
      <x:c r="F64" s="12" t="n">
        <x:v>-450</x:v>
      </x:c>
      <x:c r="G64" s="13" t="n">
        <x:v>45335</x:v>
      </x:c>
      <x:c r="H64" s="2" t="str">
        <x:v>02_Konten/GIRO_2024-02.pdf</x:v>
      </x:c>
      <x:c r="I64" s="2" t="str"/>
      <x:c r="J64" s="2" t="str">
        <x:v>B0549</x:v>
      </x:c>
    </x:row>
    <x:row r="65" ht="35" customHeight="1">
      <x:c r="A65" s="2" t="str">
        <x:v>B0059</x:v>
      </x:c>
      <x:c r="B65" s="2" t="str">
        <x:v>GIRO</x:v>
      </x:c>
      <x:c r="C65" s="13" t="n">
        <x:v>45336</x:v>
      </x:c>
      <x:c r="D65" s="14" t="str">
        <x:v>Frischemarkt Karow</x:v>
      </x:c>
      <x:c r="E65" s="14" t="str">
        <x:v>Kartenzahlung Lebensmittel, Belegserie FK 2024-02</x:v>
      </x:c>
      <x:c r="F65" s="12" t="n">
        <x:v>-220.48</x:v>
      </x:c>
      <x:c r="G65" s="13" t="n">
        <x:v>45336</x:v>
      </x:c>
      <x:c r="H65" s="2" t="str">
        <x:v>02_Konten/GIRO_2024-02.pdf</x:v>
      </x:c>
      <x:c r="I65" s="2" t="str"/>
      <x:c r="J65" s="2" t="str">
        <x:v>B0059</x:v>
      </x:c>
    </x:row>
    <x:row r="66" ht="35" customHeight="1">
      <x:c r="A66" s="2" t="str">
        <x:v>B0060</x:v>
      </x:c>
      <x:c r="B66" s="2" t="str">
        <x:v>GIRO</x:v>
      </x:c>
      <x:c r="C66" s="13" t="n">
        <x:v>45337</x:v>
      </x:c>
      <x:c r="D66" s="14" t="str">
        <x:v>Apotheke Silberblatt</x:v>
      </x:c>
      <x:c r="E66" s="14" t="str">
        <x:v>Zuzahlung und Pflegebedarf 2024-02</x:v>
      </x:c>
      <x:c r="F66" s="12" t="n">
        <x:v>-29.02</x:v>
      </x:c>
      <x:c r="G66" s="13" t="n">
        <x:v>45337</x:v>
      </x:c>
      <x:c r="H66" s="2" t="str">
        <x:v>02_Konten/GIRO_2024-02.pdf</x:v>
      </x:c>
      <x:c r="I66" s="2" t="str"/>
      <x:c r="J66" s="2" t="str">
        <x:v>B0060</x:v>
      </x:c>
    </x:row>
    <x:row r="67" ht="35" customHeight="1">
      <x:c r="A67" s="2" t="str">
        <x:v>B0061</x:v>
      </x:c>
      <x:c r="B67" s="2" t="str">
        <x:v>GIRO</x:v>
      </x:c>
      <x:c r="C67" s="13" t="n">
        <x:v>45341</x:v>
      </x:c>
      <x:c r="D67" s="14" t="str">
        <x:v>Geldautomat Karow</x:v>
      </x:c>
      <x:c r="E67" s="14" t="str">
        <x:v>Bargeldauszahlung Karte 0441, Terminal KA-03</x:v>
      </x:c>
      <x:c r="F67" s="12" t="n">
        <x:v>-200</x:v>
      </x:c>
      <x:c r="G67" s="13" t="n">
        <x:v>45341</x:v>
      </x:c>
      <x:c r="H67" s="2" t="str">
        <x:v>02_Konten/GIRO_2024-02.pdf</x:v>
      </x:c>
      <x:c r="I67" s="2" t="str"/>
      <x:c r="J67" s="2" t="str">
        <x:v>B0061</x:v>
      </x:c>
    </x:row>
    <x:row r="68" ht="35" customHeight="1">
      <x:c r="A68" s="2" t="str">
        <x:v>B0062</x:v>
      </x:c>
      <x:c r="B68" s="2" t="str">
        <x:v>GIRO</x:v>
      </x:c>
      <x:c r="C68" s="13" t="n">
        <x:v>45342</x:v>
      </x:c>
      <x:c r="D68" s="14" t="str">
        <x:v>Tierladen Pfötchen</x:v>
      </x:c>
      <x:c r="E68" s="14" t="str">
        <x:v>Futter und Streu für Kater Mürbchen</x:v>
      </x:c>
      <x:c r="F68" s="12" t="n">
        <x:v>-48.5</x:v>
      </x:c>
      <x:c r="G68" s="13" t="n">
        <x:v>45342</x:v>
      </x:c>
      <x:c r="H68" s="2" t="str">
        <x:v>02_Konten/GIRO_2024-02.pdf</x:v>
      </x:c>
      <x:c r="I68" s="2" t="str"/>
      <x:c r="J68" s="2" t="str">
        <x:v>B0062</x:v>
      </x:c>
    </x:row>
    <x:row r="69" ht="35" customHeight="1">
      <x:c r="A69" s="2" t="str">
        <x:v>B0063</x:v>
      </x:c>
      <x:c r="B69" s="2" t="str">
        <x:v>GIRO</x:v>
      </x:c>
      <x:c r="C69" s="13" t="n">
        <x:v>45344</x:v>
      </x:c>
      <x:c r="D69" s="14" t="str">
        <x:v>SofaKino Digital GmbH</x:v>
      </x:c>
      <x:c r="E69" s="14" t="str">
        <x:v>Monatsabo SK-77380 / 2024-02</x:v>
      </x:c>
      <x:c r="F69" s="12" t="n">
        <x:v>-12.99</x:v>
      </x:c>
      <x:c r="G69" s="13" t="n">
        <x:v>45344</x:v>
      </x:c>
      <x:c r="H69" s="2" t="str">
        <x:v>02_Konten/GIRO_2024-02.pdf</x:v>
      </x:c>
      <x:c r="I69" s="2" t="str"/>
      <x:c r="J69" s="2" t="str">
        <x:v>B0063</x:v>
      </x:c>
    </x:row>
    <x:row r="70" ht="35" customHeight="1">
      <x:c r="A70" s="2" t="str">
        <x:v>B0064</x:v>
      </x:c>
      <x:c r="B70" s="2" t="str">
        <x:v>GIRO</x:v>
      </x:c>
      <x:c r="C70" s="13" t="n">
        <x:v>45348</x:v>
      </x:c>
      <x:c r="D70" s="14" t="str">
        <x:v>Fensterbank Spree eG</x:v>
      </x:c>
      <x:c r="E70" s="14" t="str">
        <x:v>Kontoführung 2024-02</x:v>
      </x:c>
      <x:c r="F70" s="12" t="n">
        <x:v>-6.9</x:v>
      </x:c>
      <x:c r="G70" s="13" t="n">
        <x:v>45348</x:v>
      </x:c>
      <x:c r="H70" s="2" t="str">
        <x:v>02_Konten/GIRO_2024-02.pdf</x:v>
      </x:c>
      <x:c r="I70" s="2" t="str"/>
      <x:c r="J70" s="2" t="str">
        <x:v>B0064</x:v>
      </x:c>
    </x:row>
    <x:row r="71" ht="35" customHeight="1">
      <x:c r="A71" s="2" t="str">
        <x:v>B0053</x:v>
      </x:c>
      <x:c r="B71" s="2" t="str">
        <x:v>GIRO</x:v>
      </x:c>
      <x:c r="C71" s="13" t="n">
        <x:v>45350</x:v>
      </x:c>
      <x:c r="D71" s="14" t="str">
        <x:v>Rentenstelle Nord</x:v>
      </x:c>
      <x:c r="E71" s="14" t="str">
        <x:v>Altersrente 2024-02</x:v>
      </x:c>
      <x:c r="F71" s="12" t="n">
        <x:v>1900</x:v>
      </x:c>
      <x:c r="G71" s="13" t="n">
        <x:v>45350</x:v>
      </x:c>
      <x:c r="H71" s="2" t="str">
        <x:v>02_Konten/GIRO_2024-02.pdf</x:v>
      </x:c>
      <x:c r="I71" s="2" t="str"/>
      <x:c r="J71" s="2" t="str">
        <x:v>B0053</x:v>
      </x:c>
    </x:row>
    <x:row r="72" ht="35" customHeight="1">
      <x:c r="A72" s="2" t="str">
        <x:v>B0054</x:v>
      </x:c>
      <x:c r="B72" s="2" t="str">
        <x:v>GIRO</x:v>
      </x:c>
      <x:c r="C72" s="13" t="n">
        <x:v>45350</x:v>
      </x:c>
      <x:c r="D72" s="14" t="str">
        <x:v>Rentenstelle Nord</x:v>
      </x:c>
      <x:c r="E72" s="14" t="str">
        <x:v>Hinterbliebenenrente 2024-02</x:v>
      </x:c>
      <x:c r="F72" s="12" t="n">
        <x:v>485</x:v>
      </x:c>
      <x:c r="G72" s="13" t="n">
        <x:v>45350</x:v>
      </x:c>
      <x:c r="H72" s="2" t="str">
        <x:v>02_Konten/GIRO_2024-02.pdf</x:v>
      </x:c>
      <x:c r="I72" s="2" t="str"/>
      <x:c r="J72" s="2" t="str">
        <x:v>B0054</x:v>
      </x:c>
    </x:row>
    <x:row r="73" ht="35" customHeight="1">
      <x:c r="A73" s="2" t="str">
        <x:v>B0067</x:v>
      </x:c>
      <x:c r="B73" s="2" t="str">
        <x:v>GIRO</x:v>
      </x:c>
      <x:c r="C73" s="13" t="n">
        <x:v>45355</x:v>
      </x:c>
      <x:c r="D73" s="14" t="str">
        <x:v>Hausverwaltung Lindenblatt KG</x:v>
      </x:c>
      <x:c r="E73" s="14" t="str">
        <x:v>Warmmiete Fliederbogen 17 / 2024-03</x:v>
      </x:c>
      <x:c r="F73" s="12" t="n">
        <x:v>-780</x:v>
      </x:c>
      <x:c r="G73" s="13" t="n">
        <x:v>45355</x:v>
      </x:c>
      <x:c r="H73" s="2" t="str">
        <x:v>02_Konten/GIRO_2024-03.pdf</x:v>
      </x:c>
      <x:c r="I73" s="2" t="str"/>
      <x:c r="J73" s="2" t="str">
        <x:v>B0067</x:v>
      </x:c>
    </x:row>
    <x:row r="74" ht="35" customHeight="1">
      <x:c r="A74" s="2" t="str">
        <x:v>B0068</x:v>
      </x:c>
      <x:c r="B74" s="2" t="str">
        <x:v>GIRO</x:v>
      </x:c>
      <x:c r="C74" s="13" t="n">
        <x:v>45357</x:v>
      </x:c>
      <x:c r="D74" s="14" t="str">
        <x:v>Nordlicht Energie Berlin GmbH</x:v>
      </x:c>
      <x:c r="E74" s="14" t="str">
        <x:v>Abschlag Kundennummer NE-48017 / 2024-03</x:v>
      </x:c>
      <x:c r="F74" s="12" t="n">
        <x:v>-72</x:v>
      </x:c>
      <x:c r="G74" s="13" t="n">
        <x:v>45357</x:v>
      </x:c>
      <x:c r="H74" s="2" t="str">
        <x:v>02_Konten/GIRO_2024-03.pdf</x:v>
      </x:c>
      <x:c r="I74" s="2" t="str"/>
      <x:c r="J74" s="2" t="str">
        <x:v>B0068</x:v>
      </x:c>
    </x:row>
    <x:row r="75" ht="35" customHeight="1">
      <x:c r="A75" s="2" t="str">
        <x:v>B0069</x:v>
      </x:c>
      <x:c r="B75" s="2" t="str">
        <x:v>GIRO</x:v>
      </x:c>
      <x:c r="C75" s="13" t="n">
        <x:v>45359</x:v>
      </x:c>
      <x:c r="D75" s="14" t="str">
        <x:v>Sprechfink Telekom GmbH</x:v>
      </x:c>
      <x:c r="E75" s="14" t="str">
        <x:v>Festnetz und Internet SP-118044 / 2024-03</x:v>
      </x:c>
      <x:c r="F75" s="12" t="n">
        <x:v>-39.99</x:v>
      </x:c>
      <x:c r="G75" s="13" t="n">
        <x:v>45359</x:v>
      </x:c>
      <x:c r="H75" s="2" t="str">
        <x:v>02_Konten/GIRO_2024-03.pdf</x:v>
      </x:c>
      <x:c r="I75" s="2" t="str"/>
      <x:c r="J75" s="2" t="str">
        <x:v>B0069</x:v>
      </x:c>
    </x:row>
    <x:row r="76" ht="35" customHeight="1">
      <x:c r="A76" s="2" t="str">
        <x:v>B0070</x:v>
      </x:c>
      <x:c r="B76" s="2" t="str">
        <x:v>GIRO</x:v>
      </x:c>
      <x:c r="C76" s="13" t="n">
        <x:v>45363</x:v>
      </x:c>
      <x:c r="D76" s="14" t="str">
        <x:v>Alltagshilfe Mohnblüte GmbH</x:v>
      </x:c>
      <x:c r="E76" s="14" t="str">
        <x:v>Haushaltshilfe Rechnung MH-2024-03</x:v>
      </x:c>
      <x:c r="F76" s="12" t="n">
        <x:v>-126.5</x:v>
      </x:c>
      <x:c r="G76" s="13" t="n">
        <x:v>45363</x:v>
      </x:c>
      <x:c r="H76" s="2" t="str">
        <x:v>02_Konten/GIRO_2024-03.pdf</x:v>
      </x:c>
      <x:c r="I76" s="2" t="str">
        <x:v>MH-2024-03</x:v>
      </x:c>
      <x:c r="J76" s="2" t="str">
        <x:v>B0070</x:v>
      </x:c>
    </x:row>
    <x:row r="77" ht="35" customHeight="1">
      <x:c r="A77" s="2" t="str">
        <x:v>B0550</x:v>
      </x:c>
      <x:c r="B77" s="2" t="str">
        <x:v>GIRO</x:v>
      </x:c>
      <x:c r="C77" s="13" t="n">
        <x:v>45363</x:v>
      </x:c>
      <x:c r="D77" s="14" t="str">
        <x:v>Nordlicht Energie Berlin GmbH</x:v>
      </x:c>
      <x:c r="E77" s="14" t="str">
        <x:v>Guthaben Jahresabrechnung 2023 NE-2023</x:v>
      </x:c>
      <x:c r="F77" s="12" t="n">
        <x:v>84</x:v>
      </x:c>
      <x:c r="G77" s="13" t="n">
        <x:v>45363</x:v>
      </x:c>
      <x:c r="H77" s="2" t="str">
        <x:v>02_Konten/GIRO_2024-03.pdf</x:v>
      </x:c>
      <x:c r="I77" s="2" t="str">
        <x:v>NE-2023</x:v>
      </x:c>
      <x:c r="J77" s="2" t="str">
        <x:v>B0550</x:v>
      </x:c>
    </x:row>
    <x:row r="78" ht="35" customHeight="1">
      <x:c r="A78" s="2" t="str">
        <x:v>B0071</x:v>
      </x:c>
      <x:c r="B78" s="2" t="str">
        <x:v>GIRO</x:v>
      </x:c>
      <x:c r="C78" s="13" t="n">
        <x:v>45365</x:v>
      </x:c>
      <x:c r="D78" s="14" t="str">
        <x:v>Frischemarkt Karow</x:v>
      </x:c>
      <x:c r="E78" s="14" t="str">
        <x:v>Kartenzahlung Lebensmittel, Belegserie FK 2024-03</x:v>
      </x:c>
      <x:c r="F78" s="12" t="n">
        <x:v>-221.85</x:v>
      </x:c>
      <x:c r="G78" s="13" t="n">
        <x:v>45365</x:v>
      </x:c>
      <x:c r="H78" s="2" t="str">
        <x:v>02_Konten/GIRO_2024-03.pdf</x:v>
      </x:c>
      <x:c r="I78" s="2" t="str"/>
      <x:c r="J78" s="2" t="str">
        <x:v>B0071</x:v>
      </x:c>
    </x:row>
    <x:row r="79" ht="35" customHeight="1">
      <x:c r="A79" s="2" t="str">
        <x:v>B0072</x:v>
      </x:c>
      <x:c r="B79" s="2" t="str">
        <x:v>GIRO</x:v>
      </x:c>
      <x:c r="C79" s="13" t="n">
        <x:v>45366</x:v>
      </x:c>
      <x:c r="D79" s="14" t="str">
        <x:v>Apotheke Silberblatt</x:v>
      </x:c>
      <x:c r="E79" s="14" t="str">
        <x:v>Zuzahlung und Pflegebedarf 2024-03</x:v>
      </x:c>
      <x:c r="F79" s="12" t="n">
        <x:v>-30.15</x:v>
      </x:c>
      <x:c r="G79" s="13" t="n">
        <x:v>45366</x:v>
      </x:c>
      <x:c r="H79" s="2" t="str">
        <x:v>02_Konten/GIRO_2024-03.pdf</x:v>
      </x:c>
      <x:c r="I79" s="2" t="str"/>
      <x:c r="J79" s="2" t="str">
        <x:v>B0072</x:v>
      </x:c>
    </x:row>
    <x:row r="80" ht="35" customHeight="1">
      <x:c r="A80" s="2" t="str">
        <x:v>B0073</x:v>
      </x:c>
      <x:c r="B80" s="2" t="str">
        <x:v>GIRO</x:v>
      </x:c>
      <x:c r="C80" s="13" t="n">
        <x:v>45369</x:v>
      </x:c>
      <x:c r="D80" s="14" t="str">
        <x:v>Geldautomat Karow</x:v>
      </x:c>
      <x:c r="E80" s="14" t="str">
        <x:v>Bargeldauszahlung Karte 0441, Terminal KA-03</x:v>
      </x:c>
      <x:c r="F80" s="12" t="n">
        <x:v>-200</x:v>
      </x:c>
      <x:c r="G80" s="13" t="n">
        <x:v>45369</x:v>
      </x:c>
      <x:c r="H80" s="2" t="str">
        <x:v>02_Konten/GIRO_2024-03.pdf</x:v>
      </x:c>
      <x:c r="I80" s="2" t="str"/>
      <x:c r="J80" s="2" t="str">
        <x:v>B0073</x:v>
      </x:c>
    </x:row>
    <x:row r="81" ht="35" customHeight="1">
      <x:c r="A81" s="2" t="str">
        <x:v>B0077</x:v>
      </x:c>
      <x:c r="B81" s="2" t="str">
        <x:v>GIRO</x:v>
      </x:c>
      <x:c r="C81" s="13" t="n">
        <x:v>45370</x:v>
      </x:c>
      <x:c r="D81" s="14" t="str">
        <x:v>Kirchengemeinde Am Fliederbogen</x:v>
      </x:c>
      <x:c r="E81" s="14" t="str">
        <x:v>Gemeindespende</x:v>
      </x:c>
      <x:c r="F81" s="12" t="n">
        <x:v>-15</x:v>
      </x:c>
      <x:c r="G81" s="13" t="n">
        <x:v>45370</x:v>
      </x:c>
      <x:c r="H81" s="2" t="str">
        <x:v>02_Konten/GIRO_2024-03.pdf</x:v>
      </x:c>
      <x:c r="I81" s="2" t="str"/>
      <x:c r="J81" s="2" t="str">
        <x:v>B0077</x:v>
      </x:c>
    </x:row>
    <x:row r="82" ht="35" customHeight="1">
      <x:c r="A82" s="2" t="str">
        <x:v>B0074</x:v>
      </x:c>
      <x:c r="B82" s="2" t="str">
        <x:v>GIRO</x:v>
      </x:c>
      <x:c r="C82" s="13" t="n">
        <x:v>45371</x:v>
      </x:c>
      <x:c r="D82" s="14" t="str">
        <x:v>Tierladen Pfötchen</x:v>
      </x:c>
      <x:c r="E82" s="14" t="str">
        <x:v>Futter und Streu für Kater Mürbchen</x:v>
      </x:c>
      <x:c r="F82" s="12" t="n">
        <x:v>-48.5</x:v>
      </x:c>
      <x:c r="G82" s="13" t="n">
        <x:v>45371</x:v>
      </x:c>
      <x:c r="H82" s="2" t="str">
        <x:v>02_Konten/GIRO_2024-03.pdf</x:v>
      </x:c>
      <x:c r="I82" s="2" t="str"/>
      <x:c r="J82" s="2" t="str">
        <x:v>B0074</x:v>
      </x:c>
    </x:row>
    <x:row r="83" ht="35" customHeight="1">
      <x:c r="A83" s="2" t="str">
        <x:v>B0078</x:v>
      </x:c>
      <x:c r="B83" s="2" t="str">
        <x:v>GIRO</x:v>
      </x:c>
      <x:c r="C83" s="13" t="n">
        <x:v>45372</x:v>
      </x:c>
      <x:c r="D83" s="14" t="str">
        <x:v>Adelheid Pfister Sparen</x:v>
      </x:c>
      <x:c r="E83" s="14" t="str">
        <x:v>Umbuchung auf eigenes Sparkonto</x:v>
      </x:c>
      <x:c r="F83" s="12" t="n">
        <x:v>-250</x:v>
      </x:c>
      <x:c r="G83" s="13" t="n">
        <x:v>45372</x:v>
      </x:c>
      <x:c r="H83" s="2" t="str">
        <x:v>02_Konten/GIRO_2024-03.pdf</x:v>
      </x:c>
      <x:c r="I83" s="2" t="str"/>
      <x:c r="J83" s="2" t="str">
        <x:v>B0078</x:v>
      </x:c>
    </x:row>
    <x:row r="84" ht="35" customHeight="1">
      <x:c r="A84" s="2" t="str">
        <x:v>B0079</x:v>
      </x:c>
      <x:c r="B84" s="2" t="str">
        <x:v>SPAR</x:v>
      </x:c>
      <x:c r="C84" s="13" t="n">
        <x:v>45372</x:v>
      </x:c>
      <x:c r="D84" s="14" t="str">
        <x:v>Adelheid Pfister Giro</x:v>
      </x:c>
      <x:c r="E84" s="14" t="str">
        <x:v>Umbuchung vom eigenen Girokonto</x:v>
      </x:c>
      <x:c r="F84" s="12" t="n">
        <x:v>250</x:v>
      </x:c>
      <x:c r="G84" s="13" t="n">
        <x:v>45372</x:v>
      </x:c>
      <x:c r="H84" s="2" t="str">
        <x:v>02_Konten/SPAR_2024-03.pdf</x:v>
      </x:c>
      <x:c r="I84" s="2" t="str"/>
      <x:c r="J84" s="2" t="str">
        <x:v>B0079</x:v>
      </x:c>
    </x:row>
    <x:row r="85" ht="35" customHeight="1">
      <x:c r="A85" s="2" t="str">
        <x:v>B0075</x:v>
      </x:c>
      <x:c r="B85" s="2" t="str">
        <x:v>GIRO</x:v>
      </x:c>
      <x:c r="C85" s="13" t="n">
        <x:v>45373</x:v>
      </x:c>
      <x:c r="D85" s="14" t="str">
        <x:v>SofaKino Digital GmbH</x:v>
      </x:c>
      <x:c r="E85" s="14" t="str">
        <x:v>Monatsabo SK-77380 / 2024-03</x:v>
      </x:c>
      <x:c r="F85" s="12" t="n">
        <x:v>-12.99</x:v>
      </x:c>
      <x:c r="G85" s="13" t="n">
        <x:v>45373</x:v>
      </x:c>
      <x:c r="H85" s="2" t="str">
        <x:v>02_Konten/GIRO_2024-03.pdf</x:v>
      </x:c>
      <x:c r="I85" s="2" t="str"/>
      <x:c r="J85" s="2" t="str">
        <x:v>B0075</x:v>
      </x:c>
    </x:row>
    <x:row r="86" ht="35" customHeight="1">
      <x:c r="A86" s="2" t="str">
        <x:v>B0076</x:v>
      </x:c>
      <x:c r="B86" s="2" t="str">
        <x:v>GIRO</x:v>
      </x:c>
      <x:c r="C86" s="13" t="n">
        <x:v>45377</x:v>
      </x:c>
      <x:c r="D86" s="14" t="str">
        <x:v>Fensterbank Spree eG</x:v>
      </x:c>
      <x:c r="E86" s="14" t="str">
        <x:v>Kontoführung 2024-03</x:v>
      </x:c>
      <x:c r="F86" s="12" t="n">
        <x:v>-6.9</x:v>
      </x:c>
      <x:c r="G86" s="13" t="n">
        <x:v>45377</x:v>
      </x:c>
      <x:c r="H86" s="2" t="str">
        <x:v>02_Konten/GIRO_2024-03.pdf</x:v>
      </x:c>
      <x:c r="I86" s="2" t="str"/>
      <x:c r="J86" s="2" t="str">
        <x:v>B0076</x:v>
      </x:c>
    </x:row>
    <x:row r="87" ht="35" customHeight="1">
      <x:c r="A87" s="2" t="str">
        <x:v>B0065</x:v>
      </x:c>
      <x:c r="B87" s="2" t="str">
        <x:v>GIRO</x:v>
      </x:c>
      <x:c r="C87" s="13" t="n">
        <x:v>45379</x:v>
      </x:c>
      <x:c r="D87" s="14" t="str">
        <x:v>Rentenstelle Nord</x:v>
      </x:c>
      <x:c r="E87" s="14" t="str">
        <x:v>Altersrente 2024-03</x:v>
      </x:c>
      <x:c r="F87" s="12" t="n">
        <x:v>1900</x:v>
      </x:c>
      <x:c r="G87" s="13" t="n">
        <x:v>45379</x:v>
      </x:c>
      <x:c r="H87" s="2" t="str">
        <x:v>02_Konten/GIRO_2024-03.pdf</x:v>
      </x:c>
      <x:c r="I87" s="2" t="str"/>
      <x:c r="J87" s="2" t="str">
        <x:v>B0065</x:v>
      </x:c>
    </x:row>
    <x:row r="88" ht="35" customHeight="1">
      <x:c r="A88" s="2" t="str">
        <x:v>B0066</x:v>
      </x:c>
      <x:c r="B88" s="2" t="str">
        <x:v>GIRO</x:v>
      </x:c>
      <x:c r="C88" s="13" t="n">
        <x:v>45379</x:v>
      </x:c>
      <x:c r="D88" s="14" t="str">
        <x:v>Rentenstelle Nord</x:v>
      </x:c>
      <x:c r="E88" s="14" t="str">
        <x:v>Hinterbliebenenrente 2024-03</x:v>
      </x:c>
      <x:c r="F88" s="12" t="n">
        <x:v>485</x:v>
      </x:c>
      <x:c r="G88" s="13" t="n">
        <x:v>45379</x:v>
      </x:c>
      <x:c r="H88" s="2" t="str">
        <x:v>02_Konten/GIRO_2024-03.pdf</x:v>
      </x:c>
      <x:c r="I88" s="2" t="str"/>
      <x:c r="J88" s="2" t="str">
        <x:v>B0066</x:v>
      </x:c>
    </x:row>
    <x:row r="89" ht="35" customHeight="1">
      <x:c r="A89" s="2" t="str">
        <x:v>B0082</x:v>
      </x:c>
      <x:c r="B89" s="2" t="str">
        <x:v>GIRO</x:v>
      </x:c>
      <x:c r="C89" s="13" t="n">
        <x:v>45385</x:v>
      </x:c>
      <x:c r="D89" s="14" t="str">
        <x:v>Hausverwaltung Lindenblatt KG</x:v>
      </x:c>
      <x:c r="E89" s="14" t="str">
        <x:v>Warmmiete Fliederbogen 17 / 2024-04</x:v>
      </x:c>
      <x:c r="F89" s="12" t="n">
        <x:v>-780</x:v>
      </x:c>
      <x:c r="G89" s="13" t="n">
        <x:v>45385</x:v>
      </x:c>
      <x:c r="H89" s="2" t="str">
        <x:v>02_Konten/GIRO_2024-04.pdf</x:v>
      </x:c>
      <x:c r="I89" s="2" t="str"/>
      <x:c r="J89" s="2" t="str">
        <x:v>B0082</x:v>
      </x:c>
    </x:row>
    <x:row r="90" ht="35" customHeight="1">
      <x:c r="A90" s="2" t="str">
        <x:v>B0083</x:v>
      </x:c>
      <x:c r="B90" s="2" t="str">
        <x:v>GIRO</x:v>
      </x:c>
      <x:c r="C90" s="13" t="n">
        <x:v>45390</x:v>
      </x:c>
      <x:c r="D90" s="14" t="str">
        <x:v>Nordlicht Energie Berlin GmbH</x:v>
      </x:c>
      <x:c r="E90" s="14" t="str">
        <x:v>Abschlag Kundennummer NE-48017 / 2024-04</x:v>
      </x:c>
      <x:c r="F90" s="12" t="n">
        <x:v>-72</x:v>
      </x:c>
      <x:c r="G90" s="13" t="n">
        <x:v>45390</x:v>
      </x:c>
      <x:c r="H90" s="2" t="str">
        <x:v>02_Konten/GIRO_2024-04.pdf</x:v>
      </x:c>
      <x:c r="I90" s="2" t="str"/>
      <x:c r="J90" s="2" t="str">
        <x:v>B0083</x:v>
      </x:c>
    </x:row>
    <x:row r="91" ht="35" customHeight="1">
      <x:c r="A91" s="2" t="str">
        <x:v>B0084</x:v>
      </x:c>
      <x:c r="B91" s="2" t="str">
        <x:v>GIRO</x:v>
      </x:c>
      <x:c r="C91" s="13" t="n">
        <x:v>45390</x:v>
      </x:c>
      <x:c r="D91" s="14" t="str">
        <x:v>Sprechfink Telekom GmbH</x:v>
      </x:c>
      <x:c r="E91" s="14" t="str">
        <x:v>Festnetz und Internet SP-118044 / 2024-04</x:v>
      </x:c>
      <x:c r="F91" s="12" t="n">
        <x:v>-39.99</x:v>
      </x:c>
      <x:c r="G91" s="13" t="n">
        <x:v>45390</x:v>
      </x:c>
      <x:c r="H91" s="2" t="str">
        <x:v>02_Konten/GIRO_2024-04.pdf</x:v>
      </x:c>
      <x:c r="I91" s="2" t="str"/>
      <x:c r="J91" s="2" t="str">
        <x:v>B0084</x:v>
      </x:c>
    </x:row>
    <x:row r="92" ht="35" customHeight="1">
      <x:c r="A92" s="2" t="str">
        <x:v>B0092</x:v>
      </x:c>
      <x:c r="B92" s="2" t="str">
        <x:v>GIRO</x:v>
      </x:c>
      <x:c r="C92" s="13" t="n">
        <x:v>45391</x:v>
      </x:c>
      <x:c r="D92" s="14" t="str">
        <x:v>Glücksfenster Service GmbH</x:v>
      </x:c>
      <x:c r="E92" s="14" t="str">
        <x:v>Teilnahmeservice GF-90335 / 2024-04</x:v>
      </x:c>
      <x:c r="F92" s="12" t="n">
        <x:v>-29.9</x:v>
      </x:c>
      <x:c r="G92" s="13" t="n">
        <x:v>45391</x:v>
      </x:c>
      <x:c r="H92" s="2" t="str">
        <x:v>02_Konten/GIRO_2024-04.pdf</x:v>
      </x:c>
      <x:c r="I92" s="2" t="str"/>
      <x:c r="J92" s="2" t="str">
        <x:v>B0092</x:v>
      </x:c>
    </x:row>
    <x:row r="93" ht="35" customHeight="1">
      <x:c r="A93" s="2" t="str">
        <x:v>B0085</x:v>
      </x:c>
      <x:c r="B93" s="2" t="str">
        <x:v>GIRO</x:v>
      </x:c>
      <x:c r="C93" s="13" t="n">
        <x:v>45394</x:v>
      </x:c>
      <x:c r="D93" s="14" t="str">
        <x:v>Alltagshilfe Mohnblüte GmbH</x:v>
      </x:c>
      <x:c r="E93" s="14" t="str">
        <x:v>Haushaltshilfe Rechnung MH-2024-04</x:v>
      </x:c>
      <x:c r="F93" s="12" t="n">
        <x:v>-126.5</x:v>
      </x:c>
      <x:c r="G93" s="13" t="n">
        <x:v>45394</x:v>
      </x:c>
      <x:c r="H93" s="2" t="str">
        <x:v>02_Konten/GIRO_2024-04.pdf</x:v>
      </x:c>
      <x:c r="I93" s="2" t="str">
        <x:v>MH-2024-04</x:v>
      </x:c>
      <x:c r="J93" s="2" t="str">
        <x:v>B0085</x:v>
      </x:c>
    </x:row>
    <x:row r="94" ht="35" customHeight="1">
      <x:c r="A94" s="2" t="str">
        <x:v>B0086</x:v>
      </x:c>
      <x:c r="B94" s="2" t="str">
        <x:v>GIRO</x:v>
      </x:c>
      <x:c r="C94" s="13" t="n">
        <x:v>45397</x:v>
      </x:c>
      <x:c r="D94" s="14" t="str">
        <x:v>Frischemarkt Karow</x:v>
      </x:c>
      <x:c r="E94" s="14" t="str">
        <x:v>Kartenzahlung Lebensmittel, Belegserie FK 2024-04</x:v>
      </x:c>
      <x:c r="F94" s="12" t="n">
        <x:v>-223.22</x:v>
      </x:c>
      <x:c r="G94" s="13" t="n">
        <x:v>45397</x:v>
      </x:c>
      <x:c r="H94" s="2" t="str">
        <x:v>02_Konten/GIRO_2024-04.pdf</x:v>
      </x:c>
      <x:c r="I94" s="2" t="str"/>
      <x:c r="J94" s="2" t="str">
        <x:v>B0086</x:v>
      </x:c>
    </x:row>
    <x:row r="95" ht="35" customHeight="1">
      <x:c r="A95" s="2" t="str">
        <x:v>B0087</x:v>
      </x:c>
      <x:c r="B95" s="2" t="str">
        <x:v>GIRO</x:v>
      </x:c>
      <x:c r="C95" s="13" t="n">
        <x:v>45397</x:v>
      </x:c>
      <x:c r="D95" s="14" t="str">
        <x:v>Apotheke Silberblatt</x:v>
      </x:c>
      <x:c r="E95" s="14" t="str">
        <x:v>Zuzahlung und Pflegebedarf 2024-04</x:v>
      </x:c>
      <x:c r="F95" s="12" t="n">
        <x:v>-31.28</x:v>
      </x:c>
      <x:c r="G95" s="13" t="n">
        <x:v>45397</x:v>
      </x:c>
      <x:c r="H95" s="2" t="str">
        <x:v>02_Konten/GIRO_2024-04.pdf</x:v>
      </x:c>
      <x:c r="I95" s="2" t="str">
        <x:v>AP-2024-04</x:v>
      </x:c>
      <x:c r="J95" s="2" t="str">
        <x:v>B0087</x:v>
      </x:c>
    </x:row>
    <x:row r="96" ht="35" customHeight="1">
      <x:c r="A96" s="2" t="str">
        <x:v>B0088</x:v>
      </x:c>
      <x:c r="B96" s="2" t="str">
        <x:v>GIRO</x:v>
      </x:c>
      <x:c r="C96" s="13" t="n">
        <x:v>45400</x:v>
      </x:c>
      <x:c r="D96" s="14" t="str">
        <x:v>Geldautomat Karow</x:v>
      </x:c>
      <x:c r="E96" s="14" t="str">
        <x:v>Bargeldauszahlung Karte 0441, Terminal KA-03</x:v>
      </x:c>
      <x:c r="F96" s="12" t="n">
        <x:v>-200</x:v>
      </x:c>
      <x:c r="G96" s="13" t="n">
        <x:v>45400</x:v>
      </x:c>
      <x:c r="H96" s="2" t="str">
        <x:v>02_Konten/GIRO_2024-04.pdf</x:v>
      </x:c>
      <x:c r="I96" s="2" t="str"/>
      <x:c r="J96" s="2" t="str">
        <x:v>B0088</x:v>
      </x:c>
    </x:row>
    <x:row r="97" ht="35" customHeight="1">
      <x:c r="A97" s="2" t="str">
        <x:v>B0089</x:v>
      </x:c>
      <x:c r="B97" s="2" t="str">
        <x:v>GIRO</x:v>
      </x:c>
      <x:c r="C97" s="13" t="n">
        <x:v>45404</x:v>
      </x:c>
      <x:c r="D97" s="14" t="str">
        <x:v>Tierladen Pfötchen</x:v>
      </x:c>
      <x:c r="E97" s="14" t="str">
        <x:v>Futter und Streu für Kater Mürbchen</x:v>
      </x:c>
      <x:c r="F97" s="12" t="n">
        <x:v>-48.5</x:v>
      </x:c>
      <x:c r="G97" s="13" t="n">
        <x:v>45404</x:v>
      </x:c>
      <x:c r="H97" s="2" t="str">
        <x:v>02_Konten/GIRO_2024-04.pdf</x:v>
      </x:c>
      <x:c r="I97" s="2" t="str"/>
      <x:c r="J97" s="2" t="str">
        <x:v>B0089</x:v>
      </x:c>
    </x:row>
    <x:row r="98" ht="35" customHeight="1">
      <x:c r="A98" s="2" t="str">
        <x:v>B0090</x:v>
      </x:c>
      <x:c r="B98" s="2" t="str">
        <x:v>GIRO</x:v>
      </x:c>
      <x:c r="C98" s="13" t="n">
        <x:v>45404</x:v>
      </x:c>
      <x:c r="D98" s="14" t="str">
        <x:v>SofaKino Digital GmbH</x:v>
      </x:c>
      <x:c r="E98" s="14" t="str">
        <x:v>Monatsabo SK-77380 / 2024-04</x:v>
      </x:c>
      <x:c r="F98" s="12" t="n">
        <x:v>-12.99</x:v>
      </x:c>
      <x:c r="G98" s="13" t="n">
        <x:v>45404</x:v>
      </x:c>
      <x:c r="H98" s="2" t="str">
        <x:v>02_Konten/GIRO_2024-04.pdf</x:v>
      </x:c>
      <x:c r="I98" s="2" t="str"/>
      <x:c r="J98" s="2" t="str">
        <x:v>B0090</x:v>
      </x:c>
    </x:row>
    <x:row r="99" ht="35" customHeight="1">
      <x:c r="A99" s="2" t="str">
        <x:v>B0091</x:v>
      </x:c>
      <x:c r="B99" s="2" t="str">
        <x:v>GIRO</x:v>
      </x:c>
      <x:c r="C99" s="13" t="n">
        <x:v>45408</x:v>
      </x:c>
      <x:c r="D99" s="14" t="str">
        <x:v>Fensterbank Spree eG</x:v>
      </x:c>
      <x:c r="E99" s="14" t="str">
        <x:v>Kontoführung 2024-04</x:v>
      </x:c>
      <x:c r="F99" s="12" t="n">
        <x:v>-6.9</x:v>
      </x:c>
      <x:c r="G99" s="13" t="n">
        <x:v>45408</x:v>
      </x:c>
      <x:c r="H99" s="2" t="str">
        <x:v>02_Konten/GIRO_2024-04.pdf</x:v>
      </x:c>
      <x:c r="I99" s="2" t="str"/>
      <x:c r="J99" s="2" t="str">
        <x:v>B0091</x:v>
      </x:c>
    </x:row>
    <x:row r="100" ht="35" customHeight="1">
      <x:c r="A100" s="2" t="str">
        <x:v>B0080</x:v>
      </x:c>
      <x:c r="B100" s="2" t="str">
        <x:v>GIRO</x:v>
      </x:c>
      <x:c r="C100" s="13" t="n">
        <x:v>45411</x:v>
      </x:c>
      <x:c r="D100" s="14" t="str">
        <x:v>Rentenstelle Nord</x:v>
      </x:c>
      <x:c r="E100" s="14" t="str">
        <x:v>Altersrente 2024-04</x:v>
      </x:c>
      <x:c r="F100" s="12" t="n">
        <x:v>1900</x:v>
      </x:c>
      <x:c r="G100" s="13" t="n">
        <x:v>45411</x:v>
      </x:c>
      <x:c r="H100" s="2" t="str">
        <x:v>02_Konten/GIRO_2024-04.pdf</x:v>
      </x:c>
      <x:c r="I100" s="2" t="str"/>
      <x:c r="J100" s="2" t="str">
        <x:v>B0080</x:v>
      </x:c>
    </x:row>
    <x:row r="101" ht="35" customHeight="1">
      <x:c r="A101" s="2" t="str">
        <x:v>B0081</x:v>
      </x:c>
      <x:c r="B101" s="2" t="str">
        <x:v>GIRO</x:v>
      </x:c>
      <x:c r="C101" s="13" t="n">
        <x:v>45411</x:v>
      </x:c>
      <x:c r="D101" s="14" t="str">
        <x:v>Rentenstelle Nord</x:v>
      </x:c>
      <x:c r="E101" s="14" t="str">
        <x:v>Hinterbliebenenrente 2024-04</x:v>
      </x:c>
      <x:c r="F101" s="12" t="n">
        <x:v>485</x:v>
      </x:c>
      <x:c r="G101" s="13" t="n">
        <x:v>45411</x:v>
      </x:c>
      <x:c r="H101" s="2" t="str">
        <x:v>02_Konten/GIRO_2024-04.pdf</x:v>
      </x:c>
      <x:c r="I101" s="2" t="str"/>
      <x:c r="J101" s="2" t="str">
        <x:v>B0081</x:v>
      </x:c>
    </x:row>
    <x:row r="102" ht="35" customHeight="1">
      <x:c r="A102" s="2" t="str">
        <x:v>B0095</x:v>
      </x:c>
      <x:c r="B102" s="2" t="str">
        <x:v>GIRO</x:v>
      </x:c>
      <x:c r="C102" s="13" t="n">
        <x:v>45415</x:v>
      </x:c>
      <x:c r="D102" s="14" t="str">
        <x:v>Hausverwaltung Lindenblatt KG</x:v>
      </x:c>
      <x:c r="E102" s="14" t="str">
        <x:v>Warmmiete Fliederbogen 17 / 2024-05</x:v>
      </x:c>
      <x:c r="F102" s="12" t="n">
        <x:v>-780</x:v>
      </x:c>
      <x:c r="G102" s="13" t="n">
        <x:v>45415</x:v>
      </x:c>
      <x:c r="H102" s="2" t="str">
        <x:v>02_Konten/GIRO_2024-05.pdf</x:v>
      </x:c>
      <x:c r="I102" s="2" t="str"/>
      <x:c r="J102" s="2" t="str">
        <x:v>B0095</x:v>
      </x:c>
    </x:row>
    <x:row r="103" ht="35" customHeight="1">
      <x:c r="A103" s="2" t="str">
        <x:v>B0096</x:v>
      </x:c>
      <x:c r="B103" s="2" t="str">
        <x:v>GIRO</x:v>
      </x:c>
      <x:c r="C103" s="13" t="n">
        <x:v>45418</x:v>
      </x:c>
      <x:c r="D103" s="14" t="str">
        <x:v>Nordlicht Energie Berlin GmbH</x:v>
      </x:c>
      <x:c r="E103" s="14" t="str">
        <x:v>Abschlag Kundennummer NE-48017 / 2024-05</x:v>
      </x:c>
      <x:c r="F103" s="12" t="n">
        <x:v>-72</x:v>
      </x:c>
      <x:c r="G103" s="13" t="n">
        <x:v>45418</x:v>
      </x:c>
      <x:c r="H103" s="2" t="str">
        <x:v>02_Konten/GIRO_2024-05.pdf</x:v>
      </x:c>
      <x:c r="I103" s="2" t="str"/>
      <x:c r="J103" s="2" t="str">
        <x:v>B0096</x:v>
      </x:c>
    </x:row>
    <x:row r="104" ht="35" customHeight="1">
      <x:c r="A104" s="2" t="str">
        <x:v>B0097</x:v>
      </x:c>
      <x:c r="B104" s="2" t="str">
        <x:v>GIRO</x:v>
      </x:c>
      <x:c r="C104" s="13" t="n">
        <x:v>45420</x:v>
      </x:c>
      <x:c r="D104" s="14" t="str">
        <x:v>Sprechfink Telekom GmbH</x:v>
      </x:c>
      <x:c r="E104" s="14" t="str">
        <x:v>Festnetz und Internet SP-118044 / 2024-05</x:v>
      </x:c>
      <x:c r="F104" s="12" t="n">
        <x:v>-39.99</x:v>
      </x:c>
      <x:c r="G104" s="13" t="n">
        <x:v>45420</x:v>
      </x:c>
      <x:c r="H104" s="2" t="str">
        <x:v>02_Konten/GIRO_2024-05.pdf</x:v>
      </x:c>
      <x:c r="I104" s="2" t="str"/>
      <x:c r="J104" s="2" t="str">
        <x:v>B0097</x:v>
      </x:c>
    </x:row>
    <x:row r="105" ht="35" customHeight="1">
      <x:c r="A105" s="2" t="str">
        <x:v>B0105</x:v>
      </x:c>
      <x:c r="B105" s="2" t="str">
        <x:v>GIRO</x:v>
      </x:c>
      <x:c r="C105" s="13" t="n">
        <x:v>45421</x:v>
      </x:c>
      <x:c r="D105" s="14" t="str">
        <x:v>Glücksfenster Service GmbH</x:v>
      </x:c>
      <x:c r="E105" s="14" t="str">
        <x:v>Teilnahmeservice GF-90335 / 2024-05</x:v>
      </x:c>
      <x:c r="F105" s="12" t="n">
        <x:v>-29.9</x:v>
      </x:c>
      <x:c r="G105" s="13" t="n">
        <x:v>45421</x:v>
      </x:c>
      <x:c r="H105" s="2" t="str">
        <x:v>02_Konten/GIRO_2024-05.pdf</x:v>
      </x:c>
      <x:c r="I105" s="2" t="str"/>
      <x:c r="J105" s="2" t="str">
        <x:v>B0105</x:v>
      </x:c>
    </x:row>
    <x:row r="106" ht="35" customHeight="1">
      <x:c r="A106" s="2" t="str">
        <x:v>B0098</x:v>
      </x:c>
      <x:c r="B106" s="2" t="str">
        <x:v>GIRO</x:v>
      </x:c>
      <x:c r="C106" s="13" t="n">
        <x:v>45425</x:v>
      </x:c>
      <x:c r="D106" s="14" t="str">
        <x:v>Alltagshilfe Mohnblüte GmbH</x:v>
      </x:c>
      <x:c r="E106" s="14" t="str">
        <x:v>Haushaltshilfe Rechnung MH-2024-05</x:v>
      </x:c>
      <x:c r="F106" s="12" t="n">
        <x:v>-126.5</x:v>
      </x:c>
      <x:c r="G106" s="13" t="n">
        <x:v>45425</x:v>
      </x:c>
      <x:c r="H106" s="2" t="str">
        <x:v>02_Konten/GIRO_2024-05.pdf</x:v>
      </x:c>
      <x:c r="I106" s="2" t="str">
        <x:v>MH-2024-05</x:v>
      </x:c>
      <x:c r="J106" s="2" t="str">
        <x:v>B0098</x:v>
      </x:c>
    </x:row>
    <x:row r="107" ht="35" customHeight="1">
      <x:c r="A107" s="2" t="str">
        <x:v>B0099</x:v>
      </x:c>
      <x:c r="B107" s="2" t="str">
        <x:v>GIRO</x:v>
      </x:c>
      <x:c r="C107" s="13" t="n">
        <x:v>45426</x:v>
      </x:c>
      <x:c r="D107" s="14" t="str">
        <x:v>Frischemarkt Karow</x:v>
      </x:c>
      <x:c r="E107" s="14" t="str">
        <x:v>Kartenzahlung Lebensmittel, Belegserie FK 2024-05</x:v>
      </x:c>
      <x:c r="F107" s="12" t="n">
        <x:v>-224.59</x:v>
      </x:c>
      <x:c r="G107" s="13" t="n">
        <x:v>45426</x:v>
      </x:c>
      <x:c r="H107" s="2" t="str">
        <x:v>02_Konten/GIRO_2024-05.pdf</x:v>
      </x:c>
      <x:c r="I107" s="2" t="str"/>
      <x:c r="J107" s="2" t="str">
        <x:v>B0099</x:v>
      </x:c>
    </x:row>
    <x:row r="108" ht="35" customHeight="1">
      <x:c r="A108" s="2" t="str">
        <x:v>B0100</x:v>
      </x:c>
      <x:c r="B108" s="2" t="str">
        <x:v>GIRO</x:v>
      </x:c>
      <x:c r="C108" s="13" t="n">
        <x:v>45427</x:v>
      </x:c>
      <x:c r="D108" s="14" t="str">
        <x:v>Apotheke Silberblatt</x:v>
      </x:c>
      <x:c r="E108" s="14" t="str">
        <x:v>Zuzahlung und Pflegebedarf 2024-05</x:v>
      </x:c>
      <x:c r="F108" s="12" t="n">
        <x:v>-32.41</x:v>
      </x:c>
      <x:c r="G108" s="13" t="n">
        <x:v>45427</x:v>
      </x:c>
      <x:c r="H108" s="2" t="str">
        <x:v>02_Konten/GIRO_2024-05.pdf</x:v>
      </x:c>
      <x:c r="I108" s="2" t="str"/>
      <x:c r="J108" s="2" t="str">
        <x:v>B0100</x:v>
      </x:c>
    </x:row>
    <x:row r="109" ht="35" customHeight="1">
      <x:c r="A109" s="2" t="str">
        <x:v>B0580</x:v>
      </x:c>
      <x:c r="B109" s="2" t="str">
        <x:v>GIRO</x:v>
      </x:c>
      <x:c r="C109" s="13" t="n">
        <x:v>45427</x:v>
      </x:c>
      <x:c r="D109" s="14" t="str">
        <x:v>Adelheid Pfister Sparen</x:v>
      </x:c>
      <x:c r="E109" s="14" t="str">
        <x:v>Umbuchung vom eigenen Sparkonto</x:v>
      </x:c>
      <x:c r="F109" s="12" t="n">
        <x:v>3500</x:v>
      </x:c>
      <x:c r="G109" s="13" t="n">
        <x:v>45427</x:v>
      </x:c>
      <x:c r="H109" s="2" t="str">
        <x:v>02_Konten/GIRO_2024-05.pdf</x:v>
      </x:c>
      <x:c r="I109" s="2" t="str"/>
      <x:c r="J109" s="2" t="str">
        <x:v>B0580</x:v>
      </x:c>
    </x:row>
    <x:row r="110" ht="35" customHeight="1">
      <x:c r="A110" s="2" t="str">
        <x:v>B0579</x:v>
      </x:c>
      <x:c r="B110" s="2" t="str">
        <x:v>SPAR</x:v>
      </x:c>
      <x:c r="C110" s="13" t="n">
        <x:v>45427</x:v>
      </x:c>
      <x:c r="D110" s="14" t="str">
        <x:v>Adelheid Pfister Giro</x:v>
      </x:c>
      <x:c r="E110" s="14" t="str">
        <x:v>Umbuchung auf eigenes Girokonto</x:v>
      </x:c>
      <x:c r="F110" s="12" t="n">
        <x:v>-3500</x:v>
      </x:c>
      <x:c r="G110" s="13" t="n">
        <x:v>45427</x:v>
      </x:c>
      <x:c r="H110" s="2" t="str">
        <x:v>02_Konten/SPAR_2024-05.pdf</x:v>
      </x:c>
      <x:c r="I110" s="2" t="str"/>
      <x:c r="J110" s="2" t="str">
        <x:v>B0579</x:v>
      </x:c>
    </x:row>
    <x:row r="111" ht="35" customHeight="1">
      <x:c r="A111" s="2" t="str">
        <x:v>B0551</x:v>
      </x:c>
      <x:c r="B111" s="2" t="str">
        <x:v>GIRO</x:v>
      </x:c>
      <x:c r="C111" s="13" t="n">
        <x:v>45428</x:v>
      </x:c>
      <x:c r="D111" s="14" t="str">
        <x:v>Ruprecht Pfister</x:v>
      </x:c>
      <x:c r="E111" s="14" t="str">
        <x:v>Fenster / Rechnung W-24051 vorgestreckt</x:v>
      </x:c>
      <x:c r="F111" s="12" t="n">
        <x:v>-4200</x:v>
      </x:c>
      <x:c r="G111" s="13" t="n">
        <x:v>45428</x:v>
      </x:c>
      <x:c r="H111" s="2" t="str">
        <x:v>02_Konten/GIRO_2024-05.pdf</x:v>
      </x:c>
      <x:c r="I111" s="2" t="str">
        <x:v>W-24051</x:v>
      </x:c>
      <x:c r="J111" s="2" t="str">
        <x:v>B0551</x:v>
      </x:c>
    </x:row>
    <x:row r="112" ht="35" customHeight="1">
      <x:c r="A112" s="2" t="str">
        <x:v>B0101</x:v>
      </x:c>
      <x:c r="B112" s="2" t="str">
        <x:v>GIRO</x:v>
      </x:c>
      <x:c r="C112" s="13" t="n">
        <x:v>45432</x:v>
      </x:c>
      <x:c r="D112" s="14" t="str">
        <x:v>Geldautomat Karow</x:v>
      </x:c>
      <x:c r="E112" s="14" t="str">
        <x:v>Bargeldauszahlung Karte 0441, Terminal KA-03</x:v>
      </x:c>
      <x:c r="F112" s="12" t="n">
        <x:v>-200</x:v>
      </x:c>
      <x:c r="G112" s="13" t="n">
        <x:v>45432</x:v>
      </x:c>
      <x:c r="H112" s="2" t="str">
        <x:v>02_Konten/GIRO_2024-05.pdf</x:v>
      </x:c>
      <x:c r="I112" s="2" t="str"/>
      <x:c r="J112" s="2" t="str">
        <x:v>B0101</x:v>
      </x:c>
    </x:row>
    <x:row r="113" ht="35" customHeight="1">
      <x:c r="A113" s="2" t="str">
        <x:v>B0102</x:v>
      </x:c>
      <x:c r="B113" s="2" t="str">
        <x:v>GIRO</x:v>
      </x:c>
      <x:c r="C113" s="13" t="n">
        <x:v>45432</x:v>
      </x:c>
      <x:c r="D113" s="14" t="str">
        <x:v>Tierladen Pfötchen</x:v>
      </x:c>
      <x:c r="E113" s="14" t="str">
        <x:v>Futter und Streu für Kater Mürbchen</x:v>
      </x:c>
      <x:c r="F113" s="12" t="n">
        <x:v>-48.5</x:v>
      </x:c>
      <x:c r="G113" s="13" t="n">
        <x:v>45432</x:v>
      </x:c>
      <x:c r="H113" s="2" t="str">
        <x:v>02_Konten/GIRO_2024-05.pdf</x:v>
      </x:c>
      <x:c r="I113" s="2" t="str"/>
      <x:c r="J113" s="2" t="str">
        <x:v>B0102</x:v>
      </x:c>
    </x:row>
    <x:row r="114" ht="35" customHeight="1">
      <x:c r="A114" s="2" t="str">
        <x:v>B0103</x:v>
      </x:c>
      <x:c r="B114" s="2" t="str">
        <x:v>GIRO</x:v>
      </x:c>
      <x:c r="C114" s="13" t="n">
        <x:v>45434</x:v>
      </x:c>
      <x:c r="D114" s="14" t="str">
        <x:v>SofaKino Digital GmbH</x:v>
      </x:c>
      <x:c r="E114" s="14" t="str">
        <x:v>Monatsabo SK-77380 / 2024-05</x:v>
      </x:c>
      <x:c r="F114" s="12" t="n">
        <x:v>-12.99</x:v>
      </x:c>
      <x:c r="G114" s="13" t="n">
        <x:v>45434</x:v>
      </x:c>
      <x:c r="H114" s="2" t="str">
        <x:v>02_Konten/GIRO_2024-05.pdf</x:v>
      </x:c>
      <x:c r="I114" s="2" t="str"/>
      <x:c r="J114" s="2" t="str">
        <x:v>B0103</x:v>
      </x:c>
    </x:row>
    <x:row r="115" ht="35" customHeight="1">
      <x:c r="A115" s="2" t="str">
        <x:v>B0104</x:v>
      </x:c>
      <x:c r="B115" s="2" t="str">
        <x:v>GIRO</x:v>
      </x:c>
      <x:c r="C115" s="13" t="n">
        <x:v>45439</x:v>
      </x:c>
      <x:c r="D115" s="14" t="str">
        <x:v>Fensterbank Spree eG</x:v>
      </x:c>
      <x:c r="E115" s="14" t="str">
        <x:v>Kontoführung 2024-05</x:v>
      </x:c>
      <x:c r="F115" s="12" t="n">
        <x:v>-6.9</x:v>
      </x:c>
      <x:c r="G115" s="13" t="n">
        <x:v>45439</x:v>
      </x:c>
      <x:c r="H115" s="2" t="str">
        <x:v>02_Konten/GIRO_2024-05.pdf</x:v>
      </x:c>
      <x:c r="I115" s="2" t="str"/>
      <x:c r="J115" s="2" t="str">
        <x:v>B0104</x:v>
      </x:c>
    </x:row>
    <x:row r="116" ht="35" customHeight="1">
      <x:c r="A116" s="2" t="str">
        <x:v>B0093</x:v>
      </x:c>
      <x:c r="B116" s="2" t="str">
        <x:v>GIRO</x:v>
      </x:c>
      <x:c r="C116" s="13" t="n">
        <x:v>45440</x:v>
      </x:c>
      <x:c r="D116" s="14" t="str">
        <x:v>Rentenstelle Nord</x:v>
      </x:c>
      <x:c r="E116" s="14" t="str">
        <x:v>Altersrente 2024-05</x:v>
      </x:c>
      <x:c r="F116" s="12" t="n">
        <x:v>1900</x:v>
      </x:c>
      <x:c r="G116" s="13" t="n">
        <x:v>45440</x:v>
      </x:c>
      <x:c r="H116" s="2" t="str">
        <x:v>02_Konten/GIRO_2024-05.pdf</x:v>
      </x:c>
      <x:c r="I116" s="2" t="str"/>
      <x:c r="J116" s="2" t="str">
        <x:v>B0093</x:v>
      </x:c>
    </x:row>
    <x:row r="117" ht="35" customHeight="1">
      <x:c r="A117" s="2" t="str">
        <x:v>B0094</x:v>
      </x:c>
      <x:c r="B117" s="2" t="str">
        <x:v>GIRO</x:v>
      </x:c>
      <x:c r="C117" s="13" t="n">
        <x:v>45440</x:v>
      </x:c>
      <x:c r="D117" s="14" t="str">
        <x:v>Rentenstelle Nord</x:v>
      </x:c>
      <x:c r="E117" s="14" t="str">
        <x:v>Hinterbliebenenrente 2024-05</x:v>
      </x:c>
      <x:c r="F117" s="12" t="n">
        <x:v>485</x:v>
      </x:c>
      <x:c r="G117" s="13" t="n">
        <x:v>45440</x:v>
      </x:c>
      <x:c r="H117" s="2" t="str">
        <x:v>02_Konten/GIRO_2024-05.pdf</x:v>
      </x:c>
      <x:c r="I117" s="2" t="str"/>
      <x:c r="J117" s="2" t="str">
        <x:v>B0094</x:v>
      </x:c>
    </x:row>
    <x:row r="118" ht="35" customHeight="1">
      <x:c r="A118" s="2" t="str">
        <x:v>B0108</x:v>
      </x:c>
      <x:c r="B118" s="2" t="str">
        <x:v>GIRO</x:v>
      </x:c>
      <x:c r="C118" s="13" t="n">
        <x:v>45446</x:v>
      </x:c>
      <x:c r="D118" s="14" t="str">
        <x:v>Hausverwaltung Lindenblatt KG</x:v>
      </x:c>
      <x:c r="E118" s="14" t="str">
        <x:v>Warmmiete Fliederbogen 17 / 2024-06</x:v>
      </x:c>
      <x:c r="F118" s="12" t="n">
        <x:v>-780</x:v>
      </x:c>
      <x:c r="G118" s="13" t="n">
        <x:v>45446</x:v>
      </x:c>
      <x:c r="H118" s="2" t="str">
        <x:v>02_Konten/GIRO_2024-06.pdf</x:v>
      </x:c>
      <x:c r="I118" s="2" t="str"/>
      <x:c r="J118" s="2" t="str">
        <x:v>B0108</x:v>
      </x:c>
    </x:row>
    <x:row r="119" ht="35" customHeight="1">
      <x:c r="A119" s="2" t="str">
        <x:v>B0109</x:v>
      </x:c>
      <x:c r="B119" s="2" t="str">
        <x:v>GIRO</x:v>
      </x:c>
      <x:c r="C119" s="13" t="n">
        <x:v>45449</x:v>
      </x:c>
      <x:c r="D119" s="14" t="str">
        <x:v>Nordlicht Energie Berlin GmbH</x:v>
      </x:c>
      <x:c r="E119" s="14" t="str">
        <x:v>Abschlag Kundennummer NE-48017 / 2024-06</x:v>
      </x:c>
      <x:c r="F119" s="12" t="n">
        <x:v>-72</x:v>
      </x:c>
      <x:c r="G119" s="13" t="n">
        <x:v>45449</x:v>
      </x:c>
      <x:c r="H119" s="2" t="str">
        <x:v>02_Konten/GIRO_2024-06.pdf</x:v>
      </x:c>
      <x:c r="I119" s="2" t="str"/>
      <x:c r="J119" s="2" t="str">
        <x:v>B0109</x:v>
      </x:c>
    </x:row>
    <x:row r="120" ht="35" customHeight="1">
      <x:c r="A120" s="2" t="str">
        <x:v>B0552</x:v>
      </x:c>
      <x:c r="B120" s="2" t="str">
        <x:v>GIRO</x:v>
      </x:c>
      <x:c r="C120" s="13" t="n">
        <x:v>45450</x:v>
      </x:c>
      <x:c r="D120" s="14" t="str">
        <x:v>Ruprecht Pfister</x:v>
      </x:c>
      <x:c r="E120" s="14" t="str">
        <x:v>Rest Fenster zurück</x:v>
      </x:c>
      <x:c r="F120" s="12" t="n">
        <x:v>600</x:v>
      </x:c>
      <x:c r="G120" s="13" t="n">
        <x:v>45450</x:v>
      </x:c>
      <x:c r="H120" s="2" t="str">
        <x:v>02_Konten/GIRO_2024-06.pdf</x:v>
      </x:c>
      <x:c r="I120" s="2" t="str"/>
      <x:c r="J120" s="2" t="str">
        <x:v>B0552</x:v>
      </x:c>
    </x:row>
    <x:row r="121" ht="35" customHeight="1">
      <x:c r="A121" s="2" t="str">
        <x:v>B0110</x:v>
      </x:c>
      <x:c r="B121" s="2" t="str">
        <x:v>GIRO</x:v>
      </x:c>
      <x:c r="C121" s="13" t="n">
        <x:v>45453</x:v>
      </x:c>
      <x:c r="D121" s="14" t="str">
        <x:v>Sprechfink Telekom GmbH</x:v>
      </x:c>
      <x:c r="E121" s="14" t="str">
        <x:v>Festnetz und Internet SP-118044 / 2024-06</x:v>
      </x:c>
      <x:c r="F121" s="12" t="n">
        <x:v>-39.99</x:v>
      </x:c>
      <x:c r="G121" s="13" t="n">
        <x:v>45453</x:v>
      </x:c>
      <x:c r="H121" s="2" t="str">
        <x:v>02_Konten/GIRO_2024-06.pdf</x:v>
      </x:c>
      <x:c r="I121" s="2" t="str"/>
      <x:c r="J121" s="2" t="str">
        <x:v>B0110</x:v>
      </x:c>
    </x:row>
    <x:row r="122" ht="35" customHeight="1">
      <x:c r="A122" s="2" t="str">
        <x:v>B0118</x:v>
      </x:c>
      <x:c r="B122" s="2" t="str">
        <x:v>GIRO</x:v>
      </x:c>
      <x:c r="C122" s="13" t="n">
        <x:v>45453</x:v>
      </x:c>
      <x:c r="D122" s="14" t="str">
        <x:v>Glücksfenster Service GmbH</x:v>
      </x:c>
      <x:c r="E122" s="14" t="str">
        <x:v>Teilnahmeservice GF-90335 / 2024-06</x:v>
      </x:c>
      <x:c r="F122" s="12" t="n">
        <x:v>-29.9</x:v>
      </x:c>
      <x:c r="G122" s="13" t="n">
        <x:v>45453</x:v>
      </x:c>
      <x:c r="H122" s="2" t="str">
        <x:v>02_Konten/GIRO_2024-06.pdf</x:v>
      </x:c>
      <x:c r="I122" s="2" t="str"/>
      <x:c r="J122" s="2" t="str">
        <x:v>B0118</x:v>
      </x:c>
    </x:row>
    <x:row r="123" ht="35" customHeight="1">
      <x:c r="A123" s="2" t="str">
        <x:v>B0111</x:v>
      </x:c>
      <x:c r="B123" s="2" t="str">
        <x:v>GIRO</x:v>
      </x:c>
      <x:c r="C123" s="13" t="n">
        <x:v>45455</x:v>
      </x:c>
      <x:c r="D123" s="14" t="str">
        <x:v>Alltagshilfe Mohnblüte GmbH</x:v>
      </x:c>
      <x:c r="E123" s="14" t="str">
        <x:v>Haushaltshilfe Rechnung MH-2024-06</x:v>
      </x:c>
      <x:c r="F123" s="12" t="n">
        <x:v>-126.5</x:v>
      </x:c>
      <x:c r="G123" s="13" t="n">
        <x:v>45455</x:v>
      </x:c>
      <x:c r="H123" s="2" t="str">
        <x:v>02_Konten/GIRO_2024-06.pdf</x:v>
      </x:c>
      <x:c r="I123" s="2" t="str">
        <x:v>MH-2024-06</x:v>
      </x:c>
      <x:c r="J123" s="2" t="str">
        <x:v>B0111</x:v>
      </x:c>
    </x:row>
    <x:row r="124" ht="35" customHeight="1">
      <x:c r="A124" s="2" t="str">
        <x:v>B0112</x:v>
      </x:c>
      <x:c r="B124" s="2" t="str">
        <x:v>GIRO</x:v>
      </x:c>
      <x:c r="C124" s="13" t="n">
        <x:v>45457</x:v>
      </x:c>
      <x:c r="D124" s="14" t="str">
        <x:v>Frischemarkt Karow</x:v>
      </x:c>
      <x:c r="E124" s="14" t="str">
        <x:v>Kartenzahlung Lebensmittel, Belegserie FK 2024-06</x:v>
      </x:c>
      <x:c r="F124" s="12" t="n">
        <x:v>-225.96</x:v>
      </x:c>
      <x:c r="G124" s="13" t="n">
        <x:v>45457</x:v>
      </x:c>
      <x:c r="H124" s="2" t="str">
        <x:v>02_Konten/GIRO_2024-06.pdf</x:v>
      </x:c>
      <x:c r="I124" s="2" t="str"/>
      <x:c r="J124" s="2" t="str">
        <x:v>B0112</x:v>
      </x:c>
    </x:row>
    <x:row r="125" ht="35" customHeight="1">
      <x:c r="A125" s="2" t="str">
        <x:v>B0113</x:v>
      </x:c>
      <x:c r="B125" s="2" t="str">
        <x:v>GIRO</x:v>
      </x:c>
      <x:c r="C125" s="13" t="n">
        <x:v>45460</x:v>
      </x:c>
      <x:c r="D125" s="14" t="str">
        <x:v>Apotheke Silberblatt</x:v>
      </x:c>
      <x:c r="E125" s="14" t="str">
        <x:v>Zuzahlung und Pflegebedarf 2024-06</x:v>
      </x:c>
      <x:c r="F125" s="12" t="n">
        <x:v>-33.54</x:v>
      </x:c>
      <x:c r="G125" s="13" t="n">
        <x:v>45460</x:v>
      </x:c>
      <x:c r="H125" s="2" t="str">
        <x:v>02_Konten/GIRO_2024-06.pdf</x:v>
      </x:c>
      <x:c r="I125" s="2" t="str"/>
      <x:c r="J125" s="2" t="str">
        <x:v>B0113</x:v>
      </x:c>
    </x:row>
    <x:row r="126" ht="35" customHeight="1">
      <x:c r="A126" s="2" t="str">
        <x:v>B0114</x:v>
      </x:c>
      <x:c r="B126" s="2" t="str">
        <x:v>GIRO</x:v>
      </x:c>
      <x:c r="C126" s="13" t="n">
        <x:v>45461</x:v>
      </x:c>
      <x:c r="D126" s="14" t="str">
        <x:v>Geldautomat Karow</x:v>
      </x:c>
      <x:c r="E126" s="14" t="str">
        <x:v>Bargeldauszahlung Karte 0441, Terminal KA-03</x:v>
      </x:c>
      <x:c r="F126" s="12" t="n">
        <x:v>-200</x:v>
      </x:c>
      <x:c r="G126" s="13" t="n">
        <x:v>45461</x:v>
      </x:c>
      <x:c r="H126" s="2" t="str">
        <x:v>02_Konten/GIRO_2024-06.pdf</x:v>
      </x:c>
      <x:c r="I126" s="2" t="str"/>
      <x:c r="J126" s="2" t="str">
        <x:v>B0114</x:v>
      </x:c>
    </x:row>
    <x:row r="127" ht="35" customHeight="1">
      <x:c r="A127" s="2" t="str">
        <x:v>B0553</x:v>
      </x:c>
      <x:c r="B127" s="2" t="str">
        <x:v>GIRO</x:v>
      </x:c>
      <x:c r="C127" s="13" t="n">
        <x:v>45461</x:v>
      </x:c>
      <x:c r="D127" s="14" t="str">
        <x:v>Geldautomat Karow</x:v>
      </x:c>
      <x:c r="E127" s="14" t="str">
        <x:v>Bargeldauszahlung Karte 0441, Terminal KA-03</x:v>
      </x:c>
      <x:c r="F127" s="12" t="n">
        <x:v>-550</x:v>
      </x:c>
      <x:c r="G127" s="13" t="n">
        <x:v>45461</x:v>
      </x:c>
      <x:c r="H127" s="2" t="str">
        <x:v>02_Konten/GIRO_2024-06.pdf</x:v>
      </x:c>
      <x:c r="I127" s="2" t="str"/>
      <x:c r="J127" s="2" t="str">
        <x:v>B0553</x:v>
      </x:c>
    </x:row>
    <x:row r="128" ht="35" customHeight="1">
      <x:c r="A128" s="2" t="str">
        <x:v>B0119</x:v>
      </x:c>
      <x:c r="B128" s="2" t="str">
        <x:v>GIRO</x:v>
      </x:c>
      <x:c r="C128" s="13" t="n">
        <x:v>45462</x:v>
      </x:c>
      <x:c r="D128" s="14" t="str">
        <x:v>Kirchengemeinde Am Fliederbogen</x:v>
      </x:c>
      <x:c r="E128" s="14" t="str">
        <x:v>Gemeindespende</x:v>
      </x:c>
      <x:c r="F128" s="12" t="n">
        <x:v>-15</x:v>
      </x:c>
      <x:c r="G128" s="13" t="n">
        <x:v>45462</x:v>
      </x:c>
      <x:c r="H128" s="2" t="str">
        <x:v>02_Konten/GIRO_2024-06.pdf</x:v>
      </x:c>
      <x:c r="I128" s="2" t="str"/>
      <x:c r="J128" s="2" t="str">
        <x:v>B0119</x:v>
      </x:c>
    </x:row>
    <x:row r="129" ht="35" customHeight="1">
      <x:c r="A129" s="2" t="str">
        <x:v>B0115</x:v>
      </x:c>
      <x:c r="B129" s="2" t="str">
        <x:v>GIRO</x:v>
      </x:c>
      <x:c r="C129" s="13" t="n">
        <x:v>45463</x:v>
      </x:c>
      <x:c r="D129" s="14" t="str">
        <x:v>Tierladen Pfötchen</x:v>
      </x:c>
      <x:c r="E129" s="14" t="str">
        <x:v>Futter und Streu für Kater Mürbchen</x:v>
      </x:c>
      <x:c r="F129" s="12" t="n">
        <x:v>-48.5</x:v>
      </x:c>
      <x:c r="G129" s="13" t="n">
        <x:v>45463</x:v>
      </x:c>
      <x:c r="H129" s="2" t="str">
        <x:v>02_Konten/GIRO_2024-06.pdf</x:v>
      </x:c>
      <x:c r="I129" s="2" t="str"/>
      <x:c r="J129" s="2" t="str">
        <x:v>B0115</x:v>
      </x:c>
    </x:row>
    <x:row r="130" ht="35" customHeight="1">
      <x:c r="A130" s="2" t="str">
        <x:v>B0120</x:v>
      </x:c>
      <x:c r="B130" s="2" t="str">
        <x:v>GIRO</x:v>
      </x:c>
      <x:c r="C130" s="13" t="n">
        <x:v>45464</x:v>
      </x:c>
      <x:c r="D130" s="14" t="str">
        <x:v>Adelheid Pfister Sparen</x:v>
      </x:c>
      <x:c r="E130" s="14" t="str">
        <x:v>Umbuchung auf eigenes Sparkonto</x:v>
      </x:c>
      <x:c r="F130" s="12" t="n">
        <x:v>-250</x:v>
      </x:c>
      <x:c r="G130" s="13" t="n">
        <x:v>45464</x:v>
      </x:c>
      <x:c r="H130" s="2" t="str">
        <x:v>02_Konten/GIRO_2024-06.pdf</x:v>
      </x:c>
      <x:c r="I130" s="2" t="str"/>
      <x:c r="J130" s="2" t="str">
        <x:v>B0120</x:v>
      </x:c>
    </x:row>
    <x:row r="131" ht="35" customHeight="1">
      <x:c r="A131" s="2" t="str">
        <x:v>B0121</x:v>
      </x:c>
      <x:c r="B131" s="2" t="str">
        <x:v>SPAR</x:v>
      </x:c>
      <x:c r="C131" s="13" t="n">
        <x:v>45464</x:v>
      </x:c>
      <x:c r="D131" s="14" t="str">
        <x:v>Adelheid Pfister Giro</x:v>
      </x:c>
      <x:c r="E131" s="14" t="str">
        <x:v>Umbuchung vom eigenen Girokonto</x:v>
      </x:c>
      <x:c r="F131" s="12" t="n">
        <x:v>250</x:v>
      </x:c>
      <x:c r="G131" s="13" t="n">
        <x:v>45464</x:v>
      </x:c>
      <x:c r="H131" s="2" t="str">
        <x:v>02_Konten/SPAR_2024-06.pdf</x:v>
      </x:c>
      <x:c r="I131" s="2" t="str"/>
      <x:c r="J131" s="2" t="str">
        <x:v>B0121</x:v>
      </x:c>
    </x:row>
    <x:row r="132" ht="35" customHeight="1">
      <x:c r="A132" s="2" t="str">
        <x:v>B0116</x:v>
      </x:c>
      <x:c r="B132" s="2" t="str">
        <x:v>GIRO</x:v>
      </x:c>
      <x:c r="C132" s="13" t="n">
        <x:v>45467</x:v>
      </x:c>
      <x:c r="D132" s="14" t="str">
        <x:v>SofaKino Digital GmbH</x:v>
      </x:c>
      <x:c r="E132" s="14" t="str">
        <x:v>Monatsabo SK-77380 / 2024-06</x:v>
      </x:c>
      <x:c r="F132" s="12" t="n">
        <x:v>-12.99</x:v>
      </x:c>
      <x:c r="G132" s="13" t="n">
        <x:v>45467</x:v>
      </x:c>
      <x:c r="H132" s="2" t="str">
        <x:v>02_Konten/GIRO_2024-06.pdf</x:v>
      </x:c>
      <x:c r="I132" s="2" t="str"/>
      <x:c r="J132" s="2" t="str">
        <x:v>B0116</x:v>
      </x:c>
    </x:row>
    <x:row r="133" ht="35" customHeight="1">
      <x:c r="A133" s="2" t="str">
        <x:v>B0117</x:v>
      </x:c>
      <x:c r="B133" s="2" t="str">
        <x:v>GIRO</x:v>
      </x:c>
      <x:c r="C133" s="13" t="n">
        <x:v>45469</x:v>
      </x:c>
      <x:c r="D133" s="14" t="str">
        <x:v>Fensterbank Spree eG</x:v>
      </x:c>
      <x:c r="E133" s="14" t="str">
        <x:v>Kontoführung 2024-06</x:v>
      </x:c>
      <x:c r="F133" s="12" t="n">
        <x:v>-6.9</x:v>
      </x:c>
      <x:c r="G133" s="13" t="n">
        <x:v>45469</x:v>
      </x:c>
      <x:c r="H133" s="2" t="str">
        <x:v>02_Konten/GIRO_2024-06.pdf</x:v>
      </x:c>
      <x:c r="I133" s="2" t="str"/>
      <x:c r="J133" s="2" t="str">
        <x:v>B0117</x:v>
      </x:c>
    </x:row>
    <x:row r="134" ht="35" customHeight="1">
      <x:c r="A134" s="2" t="str">
        <x:v>B0106</x:v>
      </x:c>
      <x:c r="B134" s="2" t="str">
        <x:v>GIRO</x:v>
      </x:c>
      <x:c r="C134" s="13" t="n">
        <x:v>45471</x:v>
      </x:c>
      <x:c r="D134" s="14" t="str">
        <x:v>Rentenstelle Nord</x:v>
      </x:c>
      <x:c r="E134" s="14" t="str">
        <x:v>Altersrente 2024-06</x:v>
      </x:c>
      <x:c r="F134" s="12" t="n">
        <x:v>1900</x:v>
      </x:c>
      <x:c r="G134" s="13" t="n">
        <x:v>45471</x:v>
      </x:c>
      <x:c r="H134" s="2" t="str">
        <x:v>02_Konten/GIRO_2024-06.pdf</x:v>
      </x:c>
      <x:c r="I134" s="2" t="str"/>
      <x:c r="J134" s="2" t="str">
        <x:v>B0106</x:v>
      </x:c>
    </x:row>
    <x:row r="135" ht="35" customHeight="1">
      <x:c r="A135" s="2" t="str">
        <x:v>B0107</x:v>
      </x:c>
      <x:c r="B135" s="2" t="str">
        <x:v>GIRO</x:v>
      </x:c>
      <x:c r="C135" s="13" t="n">
        <x:v>45471</x:v>
      </x:c>
      <x:c r="D135" s="14" t="str">
        <x:v>Rentenstelle Nord</x:v>
      </x:c>
      <x:c r="E135" s="14" t="str">
        <x:v>Hinterbliebenenrente 2024-06</x:v>
      </x:c>
      <x:c r="F135" s="12" t="n">
        <x:v>485</x:v>
      </x:c>
      <x:c r="G135" s="13" t="n">
        <x:v>45471</x:v>
      </x:c>
      <x:c r="H135" s="2" t="str">
        <x:v>02_Konten/GIRO_2024-06.pdf</x:v>
      </x:c>
      <x:c r="I135" s="2" t="str"/>
      <x:c r="J135" s="2" t="str">
        <x:v>B0107</x:v>
      </x:c>
    </x:row>
    <x:row r="136" ht="35" customHeight="1">
      <x:c r="A136" s="2" t="str">
        <x:v>B0124</x:v>
      </x:c>
      <x:c r="B136" s="2" t="str">
        <x:v>GIRO</x:v>
      </x:c>
      <x:c r="C136" s="13" t="n">
        <x:v>45476</x:v>
      </x:c>
      <x:c r="D136" s="14" t="str">
        <x:v>Hausverwaltung Lindenblatt KG</x:v>
      </x:c>
      <x:c r="E136" s="14" t="str">
        <x:v>Warmmiete Fliederbogen 17 / 2024-07</x:v>
      </x:c>
      <x:c r="F136" s="12" t="n">
        <x:v>-780</x:v>
      </x:c>
      <x:c r="G136" s="13" t="n">
        <x:v>45476</x:v>
      </x:c>
      <x:c r="H136" s="2" t="str">
        <x:v>02_Konten/GIRO_2024-07.pdf</x:v>
      </x:c>
      <x:c r="I136" s="2" t="str"/>
      <x:c r="J136" s="2" t="str">
        <x:v>B0124</x:v>
      </x:c>
    </x:row>
    <x:row r="137" ht="35" customHeight="1">
      <x:c r="A137" s="2" t="str">
        <x:v>B0125</x:v>
      </x:c>
      <x:c r="B137" s="2" t="str">
        <x:v>GIRO</x:v>
      </x:c>
      <x:c r="C137" s="13" t="n">
        <x:v>45481</x:v>
      </x:c>
      <x:c r="D137" s="14" t="str">
        <x:v>Nordlicht Energie Berlin GmbH</x:v>
      </x:c>
      <x:c r="E137" s="14" t="str">
        <x:v>Abschlag Kundennummer NE-48017 / 2024-07</x:v>
      </x:c>
      <x:c r="F137" s="12" t="n">
        <x:v>-72</x:v>
      </x:c>
      <x:c r="G137" s="13" t="n">
        <x:v>45481</x:v>
      </x:c>
      <x:c r="H137" s="2" t="str">
        <x:v>02_Konten/GIRO_2024-07.pdf</x:v>
      </x:c>
      <x:c r="I137" s="2" t="str"/>
      <x:c r="J137" s="2" t="str">
        <x:v>B0125</x:v>
      </x:c>
    </x:row>
    <x:row r="138" ht="35" customHeight="1">
      <x:c r="A138" s="2" t="str">
        <x:v>B0126</x:v>
      </x:c>
      <x:c r="B138" s="2" t="str">
        <x:v>GIRO</x:v>
      </x:c>
      <x:c r="C138" s="13" t="n">
        <x:v>45481</x:v>
      </x:c>
      <x:c r="D138" s="14" t="str">
        <x:v>Sprechfink Telekom GmbH</x:v>
      </x:c>
      <x:c r="E138" s="14" t="str">
        <x:v>Festnetz und Internet SP-118044 / 2024-07</x:v>
      </x:c>
      <x:c r="F138" s="12" t="n">
        <x:v>-39.99</x:v>
      </x:c>
      <x:c r="G138" s="13" t="n">
        <x:v>45481</x:v>
      </x:c>
      <x:c r="H138" s="2" t="str">
        <x:v>02_Konten/GIRO_2024-07.pdf</x:v>
      </x:c>
      <x:c r="I138" s="2" t="str"/>
      <x:c r="J138" s="2" t="str">
        <x:v>B0126</x:v>
      </x:c>
    </x:row>
    <x:row r="139" ht="35" customHeight="1">
      <x:c r="A139" s="2" t="str">
        <x:v>B0134</x:v>
      </x:c>
      <x:c r="B139" s="2" t="str">
        <x:v>GIRO</x:v>
      </x:c>
      <x:c r="C139" s="13" t="n">
        <x:v>45482</x:v>
      </x:c>
      <x:c r="D139" s="14" t="str">
        <x:v>Glücksfenster Service GmbH</x:v>
      </x:c>
      <x:c r="E139" s="14" t="str">
        <x:v>Teilnahmeservice GF-90335 / 2024-07</x:v>
      </x:c>
      <x:c r="F139" s="12" t="n">
        <x:v>-29.9</x:v>
      </x:c>
      <x:c r="G139" s="13" t="n">
        <x:v>45482</x:v>
      </x:c>
      <x:c r="H139" s="2" t="str">
        <x:v>02_Konten/GIRO_2024-07.pdf</x:v>
      </x:c>
      <x:c r="I139" s="2" t="str"/>
      <x:c r="J139" s="2" t="str">
        <x:v>B0134</x:v>
      </x:c>
    </x:row>
    <x:row r="140" ht="35" customHeight="1">
      <x:c r="A140" s="2" t="str">
        <x:v>B0554</x:v>
      </x:c>
      <x:c r="B140" s="2" t="str">
        <x:v>GIRO</x:v>
      </x:c>
      <x:c r="C140" s="13" t="n">
        <x:v>45483</x:v>
      </x:c>
      <x:c r="D140" s="14" t="str">
        <x:v>Sanitätshaus Schwalbe GmbH</x:v>
      </x:c>
      <x:c r="E140" s="14" t="str">
        <x:v>Eigenanteil Duschsitz SS-24102</x:v>
      </x:c>
      <x:c r="F140" s="12" t="n">
        <x:v>-189</x:v>
      </x:c>
      <x:c r="G140" s="13" t="n">
        <x:v>45483</x:v>
      </x:c>
      <x:c r="H140" s="2" t="str">
        <x:v>02_Konten/GIRO_2024-07.pdf</x:v>
      </x:c>
      <x:c r="I140" s="2" t="str">
        <x:v>SS-24102</x:v>
      </x:c>
      <x:c r="J140" s="2" t="str">
        <x:v>B0554</x:v>
      </x:c>
    </x:row>
    <x:row r="141" ht="35" customHeight="1">
      <x:c r="A141" s="2" t="str">
        <x:v>B0127</x:v>
      </x:c>
      <x:c r="B141" s="2" t="str">
        <x:v>GIRO</x:v>
      </x:c>
      <x:c r="C141" s="13" t="n">
        <x:v>45485</x:v>
      </x:c>
      <x:c r="D141" s="14" t="str">
        <x:v>Alltagshilfe Mohnblüte GmbH</x:v>
      </x:c>
      <x:c r="E141" s="14" t="str">
        <x:v>Haushaltshilfe Rechnung MH-2024-07</x:v>
      </x:c>
      <x:c r="F141" s="12" t="n">
        <x:v>-126.5</x:v>
      </x:c>
      <x:c r="G141" s="13" t="n">
        <x:v>45485</x:v>
      </x:c>
      <x:c r="H141" s="2" t="str">
        <x:v>02_Konten/GIRO_2024-07.pdf</x:v>
      </x:c>
      <x:c r="I141" s="2" t="str">
        <x:v>MH-2024-07</x:v>
      </x:c>
      <x:c r="J141" s="2" t="str">
        <x:v>B0127</x:v>
      </x:c>
    </x:row>
    <x:row r="142" ht="35" customHeight="1">
      <x:c r="A142" s="2" t="str">
        <x:v>B0128</x:v>
      </x:c>
      <x:c r="B142" s="2" t="str">
        <x:v>GIRO</x:v>
      </x:c>
      <x:c r="C142" s="13" t="n">
        <x:v>45488</x:v>
      </x:c>
      <x:c r="D142" s="14" t="str">
        <x:v>Frischemarkt Karow</x:v>
      </x:c>
      <x:c r="E142" s="14" t="str">
        <x:v>Kartenzahlung Lebensmittel, Belegserie FK 2024-07</x:v>
      </x:c>
      <x:c r="F142" s="12" t="n">
        <x:v>-227.33</x:v>
      </x:c>
      <x:c r="G142" s="13" t="n">
        <x:v>45488</x:v>
      </x:c>
      <x:c r="H142" s="2" t="str">
        <x:v>02_Konten/GIRO_2024-07.pdf</x:v>
      </x:c>
      <x:c r="I142" s="2" t="str"/>
      <x:c r="J142" s="2" t="str">
        <x:v>B0128</x:v>
      </x:c>
    </x:row>
    <x:row r="143" ht="35" customHeight="1">
      <x:c r="A143" s="2" t="str">
        <x:v>B0129</x:v>
      </x:c>
      <x:c r="B143" s="2" t="str">
        <x:v>GIRO</x:v>
      </x:c>
      <x:c r="C143" s="13" t="n">
        <x:v>45488</x:v>
      </x:c>
      <x:c r="D143" s="14" t="str">
        <x:v>Apotheke Silberblatt</x:v>
      </x:c>
      <x:c r="E143" s="14" t="str">
        <x:v>Zuzahlung und Pflegebedarf 2024-07</x:v>
      </x:c>
      <x:c r="F143" s="12" t="n">
        <x:v>-34.67</x:v>
      </x:c>
      <x:c r="G143" s="13" t="n">
        <x:v>45488</x:v>
      </x:c>
      <x:c r="H143" s="2" t="str">
        <x:v>02_Konten/GIRO_2024-07.pdf</x:v>
      </x:c>
      <x:c r="I143" s="2" t="str">
        <x:v>AP-2024-07</x:v>
      </x:c>
      <x:c r="J143" s="2" t="str">
        <x:v>B0129</x:v>
      </x:c>
    </x:row>
    <x:row r="144" ht="35" customHeight="1">
      <x:c r="A144" s="2" t="str">
        <x:v>B0130</x:v>
      </x:c>
      <x:c r="B144" s="2" t="str">
        <x:v>GIRO</x:v>
      </x:c>
      <x:c r="C144" s="13" t="n">
        <x:v>45491</x:v>
      </x:c>
      <x:c r="D144" s="14" t="str">
        <x:v>Geldautomat Karow</x:v>
      </x:c>
      <x:c r="E144" s="14" t="str">
        <x:v>Bargeldauszahlung Karte 0441, Terminal KA-03</x:v>
      </x:c>
      <x:c r="F144" s="12" t="n">
        <x:v>-200</x:v>
      </x:c>
      <x:c r="G144" s="13" t="n">
        <x:v>45491</x:v>
      </x:c>
      <x:c r="H144" s="2" t="str">
        <x:v>02_Konten/GIRO_2024-07.pdf</x:v>
      </x:c>
      <x:c r="I144" s="2" t="str"/>
      <x:c r="J144" s="2" t="str">
        <x:v>B0130</x:v>
      </x:c>
    </x:row>
    <x:row r="145" ht="35" customHeight="1">
      <x:c r="A145" s="2" t="str">
        <x:v>B0131</x:v>
      </x:c>
      <x:c r="B145" s="2" t="str">
        <x:v>GIRO</x:v>
      </x:c>
      <x:c r="C145" s="13" t="n">
        <x:v>45495</x:v>
      </x:c>
      <x:c r="D145" s="14" t="str">
        <x:v>Tierladen Pfötchen</x:v>
      </x:c>
      <x:c r="E145" s="14" t="str">
        <x:v>Futter und Streu für Kater Mürbchen</x:v>
      </x:c>
      <x:c r="F145" s="12" t="n">
        <x:v>-48.5</x:v>
      </x:c>
      <x:c r="G145" s="13" t="n">
        <x:v>45495</x:v>
      </x:c>
      <x:c r="H145" s="2" t="str">
        <x:v>02_Konten/GIRO_2024-07.pdf</x:v>
      </x:c>
      <x:c r="I145" s="2" t="str"/>
      <x:c r="J145" s="2" t="str">
        <x:v>B0131</x:v>
      </x:c>
    </x:row>
    <x:row r="146" ht="35" customHeight="1">
      <x:c r="A146" s="2" t="str">
        <x:v>B0132</x:v>
      </x:c>
      <x:c r="B146" s="2" t="str">
        <x:v>GIRO</x:v>
      </x:c>
      <x:c r="C146" s="13" t="n">
        <x:v>45495</x:v>
      </x:c>
      <x:c r="D146" s="14" t="str">
        <x:v>SofaKino Digital GmbH</x:v>
      </x:c>
      <x:c r="E146" s="14" t="str">
        <x:v>Monatsabo SK-77380 / 2024-07</x:v>
      </x:c>
      <x:c r="F146" s="12" t="n">
        <x:v>-12.99</x:v>
      </x:c>
      <x:c r="G146" s="13" t="n">
        <x:v>45495</x:v>
      </x:c>
      <x:c r="H146" s="2" t="str">
        <x:v>02_Konten/GIRO_2024-07.pdf</x:v>
      </x:c>
      <x:c r="I146" s="2" t="str"/>
      <x:c r="J146" s="2" t="str">
        <x:v>B0132</x:v>
      </x:c>
    </x:row>
    <x:row r="147" ht="35" customHeight="1">
      <x:c r="A147" s="2" t="str">
        <x:v>B0133</x:v>
      </x:c>
      <x:c r="B147" s="2" t="str">
        <x:v>GIRO</x:v>
      </x:c>
      <x:c r="C147" s="13" t="n">
        <x:v>45499</x:v>
      </x:c>
      <x:c r="D147" s="14" t="str">
        <x:v>Fensterbank Spree eG</x:v>
      </x:c>
      <x:c r="E147" s="14" t="str">
        <x:v>Kontoführung 2024-07</x:v>
      </x:c>
      <x:c r="F147" s="12" t="n">
        <x:v>-6.9</x:v>
      </x:c>
      <x:c r="G147" s="13" t="n">
        <x:v>45499</x:v>
      </x:c>
      <x:c r="H147" s="2" t="str">
        <x:v>02_Konten/GIRO_2024-07.pdf</x:v>
      </x:c>
      <x:c r="I147" s="2" t="str"/>
      <x:c r="J147" s="2" t="str">
        <x:v>B0133</x:v>
      </x:c>
    </x:row>
    <x:row r="148" ht="35" customHeight="1">
      <x:c r="A148" s="2" t="str">
        <x:v>B0122</x:v>
      </x:c>
      <x:c r="B148" s="2" t="str">
        <x:v>GIRO</x:v>
      </x:c>
      <x:c r="C148" s="13" t="n">
        <x:v>45502</x:v>
      </x:c>
      <x:c r="D148" s="14" t="str">
        <x:v>Rentenstelle Nord</x:v>
      </x:c>
      <x:c r="E148" s="14" t="str">
        <x:v>Altersrente 2024-07</x:v>
      </x:c>
      <x:c r="F148" s="12" t="n">
        <x:v>1960</x:v>
      </x:c>
      <x:c r="G148" s="13" t="n">
        <x:v>45502</x:v>
      </x:c>
      <x:c r="H148" s="2" t="str">
        <x:v>02_Konten/GIRO_2024-07.pdf</x:v>
      </x:c>
      <x:c r="I148" s="2" t="str"/>
      <x:c r="J148" s="2" t="str">
        <x:v>B0122</x:v>
      </x:c>
    </x:row>
    <x:row r="149" ht="35" customHeight="1">
      <x:c r="A149" s="2" t="str">
        <x:v>B0123</x:v>
      </x:c>
      <x:c r="B149" s="2" t="str">
        <x:v>GIRO</x:v>
      </x:c>
      <x:c r="C149" s="13" t="n">
        <x:v>45502</x:v>
      </x:c>
      <x:c r="D149" s="14" t="str">
        <x:v>Rentenstelle Nord</x:v>
      </x:c>
      <x:c r="E149" s="14" t="str">
        <x:v>Hinterbliebenenrente 2024-07</x:v>
      </x:c>
      <x:c r="F149" s="12" t="n">
        <x:v>485</x:v>
      </x:c>
      <x:c r="G149" s="13" t="n">
        <x:v>45502</x:v>
      </x:c>
      <x:c r="H149" s="2" t="str">
        <x:v>02_Konten/GIRO_2024-07.pdf</x:v>
      </x:c>
      <x:c r="I149" s="2" t="str"/>
      <x:c r="J149" s="2" t="str">
        <x:v>B0123</x:v>
      </x:c>
    </x:row>
    <x:row r="150" ht="35" customHeight="1">
      <x:c r="A150" s="2" t="str">
        <x:v>B0137</x:v>
      </x:c>
      <x:c r="B150" s="2" t="str">
        <x:v>GIRO</x:v>
      </x:c>
      <x:c r="C150" s="13" t="n">
        <x:v>45509</x:v>
      </x:c>
      <x:c r="D150" s="14" t="str">
        <x:v>Hausverwaltung Lindenblatt KG</x:v>
      </x:c>
      <x:c r="E150" s="14" t="str">
        <x:v>Warmmiete Fliederbogen 17 / 2024-08</x:v>
      </x:c>
      <x:c r="F150" s="12" t="n">
        <x:v>-780</x:v>
      </x:c>
      <x:c r="G150" s="13" t="n">
        <x:v>45509</x:v>
      </x:c>
      <x:c r="H150" s="2" t="str">
        <x:v>02_Konten/GIRO_2024-08.pdf</x:v>
      </x:c>
      <x:c r="I150" s="2" t="str"/>
      <x:c r="J150" s="2" t="str">
        <x:v>B0137</x:v>
      </x:c>
    </x:row>
    <x:row r="151" ht="35" customHeight="1">
      <x:c r="A151" s="2" t="str">
        <x:v>B0138</x:v>
      </x:c>
      <x:c r="B151" s="2" t="str">
        <x:v>GIRO</x:v>
      </x:c>
      <x:c r="C151" s="13" t="n">
        <x:v>45510</x:v>
      </x:c>
      <x:c r="D151" s="14" t="str">
        <x:v>Nordlicht Energie Berlin GmbH</x:v>
      </x:c>
      <x:c r="E151" s="14" t="str">
        <x:v>Abschlag Kundennummer NE-48017 / 2024-08</x:v>
      </x:c>
      <x:c r="F151" s="12" t="n">
        <x:v>-72</x:v>
      </x:c>
      <x:c r="G151" s="13" t="n">
        <x:v>45510</x:v>
      </x:c>
      <x:c r="H151" s="2" t="str">
        <x:v>02_Konten/GIRO_2024-08.pdf</x:v>
      </x:c>
      <x:c r="I151" s="2" t="str"/>
      <x:c r="J151" s="2" t="str">
        <x:v>B0138</x:v>
      </x:c>
    </x:row>
    <x:row r="152" ht="35" customHeight="1">
      <x:c r="A152" s="2" t="str">
        <x:v>B0139</x:v>
      </x:c>
      <x:c r="B152" s="2" t="str">
        <x:v>GIRO</x:v>
      </x:c>
      <x:c r="C152" s="13" t="n">
        <x:v>45512</x:v>
      </x:c>
      <x:c r="D152" s="14" t="str">
        <x:v>Sprechfink Telekom GmbH</x:v>
      </x:c>
      <x:c r="E152" s="14" t="str">
        <x:v>Festnetz und Internet SP-118044 / 2024-08</x:v>
      </x:c>
      <x:c r="F152" s="12" t="n">
        <x:v>-39.99</x:v>
      </x:c>
      <x:c r="G152" s="13" t="n">
        <x:v>45512</x:v>
      </x:c>
      <x:c r="H152" s="2" t="str">
        <x:v>02_Konten/GIRO_2024-08.pdf</x:v>
      </x:c>
      <x:c r="I152" s="2" t="str"/>
      <x:c r="J152" s="2" t="str">
        <x:v>B0139</x:v>
      </x:c>
    </x:row>
    <x:row r="153" ht="35" customHeight="1">
      <x:c r="A153" s="2" t="str">
        <x:v>B0147</x:v>
      </x:c>
      <x:c r="B153" s="2" t="str">
        <x:v>GIRO</x:v>
      </x:c>
      <x:c r="C153" s="13" t="n">
        <x:v>45513</x:v>
      </x:c>
      <x:c r="D153" s="14" t="str">
        <x:v>Glücksfenster Service GmbH</x:v>
      </x:c>
      <x:c r="E153" s="14" t="str">
        <x:v>Teilnahmeservice GF-90335 / 2024-08</x:v>
      </x:c>
      <x:c r="F153" s="12" t="n">
        <x:v>-29.9</x:v>
      </x:c>
      <x:c r="G153" s="13" t="n">
        <x:v>45513</x:v>
      </x:c>
      <x:c r="H153" s="2" t="str">
        <x:v>02_Konten/GIRO_2024-08.pdf</x:v>
      </x:c>
      <x:c r="I153" s="2" t="str"/>
      <x:c r="J153" s="2" t="str">
        <x:v>B0147</x:v>
      </x:c>
    </x:row>
    <x:row r="154" ht="35" customHeight="1">
      <x:c r="A154" s="2" t="str">
        <x:v>B0140</x:v>
      </x:c>
      <x:c r="B154" s="2" t="str">
        <x:v>GIRO</x:v>
      </x:c>
      <x:c r="C154" s="13" t="n">
        <x:v>45516</x:v>
      </x:c>
      <x:c r="D154" s="14" t="str">
        <x:v>Alltagshilfe Mohnblüte GmbH</x:v>
      </x:c>
      <x:c r="E154" s="14" t="str">
        <x:v>Haushaltshilfe Rechnung MH-2024-08</x:v>
      </x:c>
      <x:c r="F154" s="12" t="n">
        <x:v>-126.5</x:v>
      </x:c>
      <x:c r="G154" s="13" t="n">
        <x:v>45516</x:v>
      </x:c>
      <x:c r="H154" s="2" t="str">
        <x:v>02_Konten/GIRO_2024-08.pdf</x:v>
      </x:c>
      <x:c r="I154" s="2" t="str">
        <x:v>MH-2024-08</x:v>
      </x:c>
      <x:c r="J154" s="2" t="str">
        <x:v>B0140</x:v>
      </x:c>
    </x:row>
    <x:row r="155" ht="35" customHeight="1">
      <x:c r="A155" s="2" t="str">
        <x:v>B0141</x:v>
      </x:c>
      <x:c r="B155" s="2" t="str">
        <x:v>GIRO</x:v>
      </x:c>
      <x:c r="C155" s="13" t="n">
        <x:v>45518</x:v>
      </x:c>
      <x:c r="D155" s="14" t="str">
        <x:v>Frischemarkt Karow</x:v>
      </x:c>
      <x:c r="E155" s="14" t="str">
        <x:v>Kartenzahlung Lebensmittel, Belegserie FK 2024-08</x:v>
      </x:c>
      <x:c r="F155" s="12" t="n">
        <x:v>-228.7</x:v>
      </x:c>
      <x:c r="G155" s="13" t="n">
        <x:v>45518</x:v>
      </x:c>
      <x:c r="H155" s="2" t="str">
        <x:v>02_Konten/GIRO_2024-08.pdf</x:v>
      </x:c>
      <x:c r="I155" s="2" t="str"/>
      <x:c r="J155" s="2" t="str">
        <x:v>B0141</x:v>
      </x:c>
    </x:row>
    <x:row r="156" ht="35" customHeight="1">
      <x:c r="A156" s="2" t="str">
        <x:v>B0142</x:v>
      </x:c>
      <x:c r="B156" s="2" t="str">
        <x:v>GIRO</x:v>
      </x:c>
      <x:c r="C156" s="13" t="n">
        <x:v>45519</x:v>
      </x:c>
      <x:c r="D156" s="14" t="str">
        <x:v>Apotheke Silberblatt</x:v>
      </x:c>
      <x:c r="E156" s="14" t="str">
        <x:v>Zuzahlung und Pflegebedarf 2024-08</x:v>
      </x:c>
      <x:c r="F156" s="12" t="n">
        <x:v>-35.8</x:v>
      </x:c>
      <x:c r="G156" s="13" t="n">
        <x:v>45519</x:v>
      </x:c>
      <x:c r="H156" s="2" t="str">
        <x:v>02_Konten/GIRO_2024-08.pdf</x:v>
      </x:c>
      <x:c r="I156" s="2" t="str"/>
      <x:c r="J156" s="2" t="str">
        <x:v>B0142</x:v>
      </x:c>
    </x:row>
    <x:row r="157" ht="35" customHeight="1">
      <x:c r="A157" s="2" t="str">
        <x:v>B0143</x:v>
      </x:c>
      <x:c r="B157" s="2" t="str">
        <x:v>GIRO</x:v>
      </x:c>
      <x:c r="C157" s="13" t="n">
        <x:v>45523</x:v>
      </x:c>
      <x:c r="D157" s="14" t="str">
        <x:v>Geldautomat Karow</x:v>
      </x:c>
      <x:c r="E157" s="14" t="str">
        <x:v>Bargeldauszahlung Karte 0441, Terminal KA-03</x:v>
      </x:c>
      <x:c r="F157" s="12" t="n">
        <x:v>-200</x:v>
      </x:c>
      <x:c r="G157" s="13" t="n">
        <x:v>45523</x:v>
      </x:c>
      <x:c r="H157" s="2" t="str">
        <x:v>02_Konten/GIRO_2024-08.pdf</x:v>
      </x:c>
      <x:c r="I157" s="2" t="str"/>
      <x:c r="J157" s="2" t="str">
        <x:v>B0143</x:v>
      </x:c>
    </x:row>
    <x:row r="158" ht="35" customHeight="1">
      <x:c r="A158" s="2" t="str">
        <x:v>B0144</x:v>
      </x:c>
      <x:c r="B158" s="2" t="str">
        <x:v>GIRO</x:v>
      </x:c>
      <x:c r="C158" s="13" t="n">
        <x:v>45524</x:v>
      </x:c>
      <x:c r="D158" s="14" t="str">
        <x:v>Tierladen Pfötchen</x:v>
      </x:c>
      <x:c r="E158" s="14" t="str">
        <x:v>Futter und Streu für Kater Mürbchen</x:v>
      </x:c>
      <x:c r="F158" s="12" t="n">
        <x:v>-48.5</x:v>
      </x:c>
      <x:c r="G158" s="13" t="n">
        <x:v>45524</x:v>
      </x:c>
      <x:c r="H158" s="2" t="str">
        <x:v>02_Konten/GIRO_2024-08.pdf</x:v>
      </x:c>
      <x:c r="I158" s="2" t="str"/>
      <x:c r="J158" s="2" t="str">
        <x:v>B0144</x:v>
      </x:c>
    </x:row>
    <x:row r="159" ht="35" customHeight="1">
      <x:c r="A159" s="2" t="str">
        <x:v>B0145</x:v>
      </x:c>
      <x:c r="B159" s="2" t="str">
        <x:v>GIRO</x:v>
      </x:c>
      <x:c r="C159" s="13" t="n">
        <x:v>45526</x:v>
      </x:c>
      <x:c r="D159" s="14" t="str">
        <x:v>SofaKino Digital GmbH</x:v>
      </x:c>
      <x:c r="E159" s="14" t="str">
        <x:v>Monatsabo SK-77380 / 2024-08</x:v>
      </x:c>
      <x:c r="F159" s="12" t="n">
        <x:v>-12.99</x:v>
      </x:c>
      <x:c r="G159" s="13" t="n">
        <x:v>45526</x:v>
      </x:c>
      <x:c r="H159" s="2" t="str">
        <x:v>02_Konten/GIRO_2024-08.pdf</x:v>
      </x:c>
      <x:c r="I159" s="2" t="str"/>
      <x:c r="J159" s="2" t="str">
        <x:v>B0145</x:v>
      </x:c>
    </x:row>
    <x:row r="160" ht="35" customHeight="1">
      <x:c r="A160" s="2" t="str">
        <x:v>B0146</x:v>
      </x:c>
      <x:c r="B160" s="2" t="str">
        <x:v>GIRO</x:v>
      </x:c>
      <x:c r="C160" s="13" t="n">
        <x:v>45530</x:v>
      </x:c>
      <x:c r="D160" s="14" t="str">
        <x:v>Fensterbank Spree eG</x:v>
      </x:c>
      <x:c r="E160" s="14" t="str">
        <x:v>Kontoführung 2024-08</x:v>
      </x:c>
      <x:c r="F160" s="12" t="n">
        <x:v>-6.9</x:v>
      </x:c>
      <x:c r="G160" s="13" t="n">
        <x:v>45530</x:v>
      </x:c>
      <x:c r="H160" s="2" t="str">
        <x:v>02_Konten/GIRO_2024-08.pdf</x:v>
      </x:c>
      <x:c r="I160" s="2" t="str"/>
      <x:c r="J160" s="2" t="str">
        <x:v>B0146</x:v>
      </x:c>
    </x:row>
    <x:row r="161" ht="35" customHeight="1">
      <x:c r="A161" s="2" t="str">
        <x:v>B0135</x:v>
      </x:c>
      <x:c r="B161" s="2" t="str">
        <x:v>GIRO</x:v>
      </x:c>
      <x:c r="C161" s="13" t="n">
        <x:v>45532</x:v>
      </x:c>
      <x:c r="D161" s="14" t="str">
        <x:v>Rentenstelle Nord</x:v>
      </x:c>
      <x:c r="E161" s="14" t="str">
        <x:v>Altersrente 2024-08</x:v>
      </x:c>
      <x:c r="F161" s="12" t="n">
        <x:v>1960</x:v>
      </x:c>
      <x:c r="G161" s="13" t="n">
        <x:v>45532</x:v>
      </x:c>
      <x:c r="H161" s="2" t="str">
        <x:v>02_Konten/GIRO_2024-08.pdf</x:v>
      </x:c>
      <x:c r="I161" s="2" t="str"/>
      <x:c r="J161" s="2" t="str">
        <x:v>B0135</x:v>
      </x:c>
    </x:row>
    <x:row r="162" ht="35" customHeight="1">
      <x:c r="A162" s="2" t="str">
        <x:v>B0136</x:v>
      </x:c>
      <x:c r="B162" s="2" t="str">
        <x:v>GIRO</x:v>
      </x:c>
      <x:c r="C162" s="13" t="n">
        <x:v>45532</x:v>
      </x:c>
      <x:c r="D162" s="14" t="str">
        <x:v>Rentenstelle Nord</x:v>
      </x:c>
      <x:c r="E162" s="14" t="str">
        <x:v>Hinterbliebenenrente 2024-08</x:v>
      </x:c>
      <x:c r="F162" s="12" t="n">
        <x:v>485</x:v>
      </x:c>
      <x:c r="G162" s="13" t="n">
        <x:v>45532</x:v>
      </x:c>
      <x:c r="H162" s="2" t="str">
        <x:v>02_Konten/GIRO_2024-08.pdf</x:v>
      </x:c>
      <x:c r="I162" s="2" t="str"/>
      <x:c r="J162" s="2" t="str">
        <x:v>B0136</x:v>
      </x:c>
    </x:row>
    <x:row r="163" ht="35" customHeight="1">
      <x:c r="A163" s="2" t="str">
        <x:v>B0150</x:v>
      </x:c>
      <x:c r="B163" s="2" t="str">
        <x:v>GIRO</x:v>
      </x:c>
      <x:c r="C163" s="13" t="n">
        <x:v>45538</x:v>
      </x:c>
      <x:c r="D163" s="14" t="str">
        <x:v>Hausverwaltung Lindenblatt KG</x:v>
      </x:c>
      <x:c r="E163" s="14" t="str">
        <x:v>Warmmiete Fliederbogen 17 / 2024-09</x:v>
      </x:c>
      <x:c r="F163" s="12" t="n">
        <x:v>-780</x:v>
      </x:c>
      <x:c r="G163" s="13" t="n">
        <x:v>45538</x:v>
      </x:c>
      <x:c r="H163" s="2" t="str">
        <x:v>02_Konten/GIRO_2024-09.pdf</x:v>
      </x:c>
      <x:c r="I163" s="2" t="str"/>
      <x:c r="J163" s="2" t="str">
        <x:v>B0150</x:v>
      </x:c>
    </x:row>
    <x:row r="164" ht="35" customHeight="1">
      <x:c r="A164" s="2" t="str">
        <x:v>B0151</x:v>
      </x:c>
      <x:c r="B164" s="2" t="str">
        <x:v>GIRO</x:v>
      </x:c>
      <x:c r="C164" s="13" t="n">
        <x:v>45541</x:v>
      </x:c>
      <x:c r="D164" s="14" t="str">
        <x:v>Nordlicht Energie Berlin GmbH</x:v>
      </x:c>
      <x:c r="E164" s="14" t="str">
        <x:v>Abschlag Kundennummer NE-48017 / 2024-09</x:v>
      </x:c>
      <x:c r="F164" s="12" t="n">
        <x:v>-72</x:v>
      </x:c>
      <x:c r="G164" s="13" t="n">
        <x:v>45541</x:v>
      </x:c>
      <x:c r="H164" s="2" t="str">
        <x:v>02_Konten/GIRO_2024-09.pdf</x:v>
      </x:c>
      <x:c r="I164" s="2" t="str"/>
      <x:c r="J164" s="2" t="str">
        <x:v>B0151</x:v>
      </x:c>
    </x:row>
    <x:row r="165" ht="35" customHeight="1">
      <x:c r="A165" s="2" t="str">
        <x:v>B0152</x:v>
      </x:c>
      <x:c r="B165" s="2" t="str">
        <x:v>GIRO</x:v>
      </x:c>
      <x:c r="C165" s="13" t="n">
        <x:v>45544</x:v>
      </x:c>
      <x:c r="D165" s="14" t="str">
        <x:v>Sprechfink Telekom GmbH</x:v>
      </x:c>
      <x:c r="E165" s="14" t="str">
        <x:v>Festnetz und Internet SP-118044 / 2024-09</x:v>
      </x:c>
      <x:c r="F165" s="12" t="n">
        <x:v>-39.99</x:v>
      </x:c>
      <x:c r="G165" s="13" t="n">
        <x:v>45544</x:v>
      </x:c>
      <x:c r="H165" s="2" t="str">
        <x:v>02_Konten/GIRO_2024-09.pdf</x:v>
      </x:c>
      <x:c r="I165" s="2" t="str"/>
      <x:c r="J165" s="2" t="str">
        <x:v>B0152</x:v>
      </x:c>
    </x:row>
    <x:row r="166" ht="35" customHeight="1">
      <x:c r="A166" s="2" t="str">
        <x:v>B0160</x:v>
      </x:c>
      <x:c r="B166" s="2" t="str">
        <x:v>GIRO</x:v>
      </x:c>
      <x:c r="C166" s="13" t="n">
        <x:v>45544</x:v>
      </x:c>
      <x:c r="D166" s="14" t="str">
        <x:v>Glücksfenster Service GmbH</x:v>
      </x:c>
      <x:c r="E166" s="14" t="str">
        <x:v>Teilnahmeservice GF-90335 / 2024-09</x:v>
      </x:c>
      <x:c r="F166" s="12" t="n">
        <x:v>-29.9</x:v>
      </x:c>
      <x:c r="G166" s="13" t="n">
        <x:v>45544</x:v>
      </x:c>
      <x:c r="H166" s="2" t="str">
        <x:v>02_Konten/GIRO_2024-09.pdf</x:v>
      </x:c>
      <x:c r="I166" s="2" t="str"/>
      <x:c r="J166" s="2" t="str">
        <x:v>B0160</x:v>
      </x:c>
    </x:row>
    <x:row r="167" ht="35" customHeight="1">
      <x:c r="A167" s="2" t="str">
        <x:v>B0153</x:v>
      </x:c>
      <x:c r="B167" s="2" t="str">
        <x:v>GIRO</x:v>
      </x:c>
      <x:c r="C167" s="13" t="n">
        <x:v>45547</x:v>
      </x:c>
      <x:c r="D167" s="14" t="str">
        <x:v>Alltagshilfe Mohnblüte GmbH</x:v>
      </x:c>
      <x:c r="E167" s="14" t="str">
        <x:v>Haushaltshilfe Rechnung MH-2024-09</x:v>
      </x:c>
      <x:c r="F167" s="12" t="n">
        <x:v>-126.5</x:v>
      </x:c>
      <x:c r="G167" s="13" t="n">
        <x:v>45547</x:v>
      </x:c>
      <x:c r="H167" s="2" t="str">
        <x:v>02_Konten/GIRO_2024-09.pdf</x:v>
      </x:c>
      <x:c r="I167" s="2" t="str">
        <x:v>MH-2024-09</x:v>
      </x:c>
      <x:c r="J167" s="2" t="str">
        <x:v>B0153</x:v>
      </x:c>
    </x:row>
    <x:row r="168" ht="35" customHeight="1">
      <x:c r="A168" s="2" t="str">
        <x:v>B0154</x:v>
      </x:c>
      <x:c r="B168" s="2" t="str">
        <x:v>GIRO</x:v>
      </x:c>
      <x:c r="C168" s="13" t="n">
        <x:v>45551</x:v>
      </x:c>
      <x:c r="D168" s="14" t="str">
        <x:v>Frischemarkt Karow</x:v>
      </x:c>
      <x:c r="E168" s="14" t="str">
        <x:v>Kartenzahlung Lebensmittel, Belegserie FK 2024-09</x:v>
      </x:c>
      <x:c r="F168" s="12" t="n">
        <x:v>-230.07</x:v>
      </x:c>
      <x:c r="G168" s="13" t="n">
        <x:v>45551</x:v>
      </x:c>
      <x:c r="H168" s="2" t="str">
        <x:v>02_Konten/GIRO_2024-09.pdf</x:v>
      </x:c>
      <x:c r="I168" s="2" t="str"/>
      <x:c r="J168" s="2" t="str">
        <x:v>B0154</x:v>
      </x:c>
    </x:row>
    <x:row r="169" ht="35" customHeight="1">
      <x:c r="A169" s="2" t="str">
        <x:v>B0155</x:v>
      </x:c>
      <x:c r="B169" s="2" t="str">
        <x:v>GIRO</x:v>
      </x:c>
      <x:c r="C169" s="13" t="n">
        <x:v>45551</x:v>
      </x:c>
      <x:c r="D169" s="14" t="str">
        <x:v>Apotheke Silberblatt</x:v>
      </x:c>
      <x:c r="E169" s="14" t="str">
        <x:v>Zuzahlung und Pflegebedarf 2024-09</x:v>
      </x:c>
      <x:c r="F169" s="12" t="n">
        <x:v>-36.93</x:v>
      </x:c>
      <x:c r="G169" s="13" t="n">
        <x:v>45551</x:v>
      </x:c>
      <x:c r="H169" s="2" t="str">
        <x:v>02_Konten/GIRO_2024-09.pdf</x:v>
      </x:c>
      <x:c r="I169" s="2" t="str"/>
      <x:c r="J169" s="2" t="str">
        <x:v>B0155</x:v>
      </x:c>
    </x:row>
    <x:row r="170" ht="35" customHeight="1">
      <x:c r="A170" s="2" t="str">
        <x:v>B0156</x:v>
      </x:c>
      <x:c r="B170" s="2" t="str">
        <x:v>GIRO</x:v>
      </x:c>
      <x:c r="C170" s="13" t="n">
        <x:v>45553</x:v>
      </x:c>
      <x:c r="D170" s="14" t="str">
        <x:v>Geldautomat Karow</x:v>
      </x:c>
      <x:c r="E170" s="14" t="str">
        <x:v>Bargeldauszahlung Karte 0441, Terminal KA-03</x:v>
      </x:c>
      <x:c r="F170" s="12" t="n">
        <x:v>-200</x:v>
      </x:c>
      <x:c r="G170" s="13" t="n">
        <x:v>45553</x:v>
      </x:c>
      <x:c r="H170" s="2" t="str">
        <x:v>02_Konten/GIRO_2024-09.pdf</x:v>
      </x:c>
      <x:c r="I170" s="2" t="str"/>
      <x:c r="J170" s="2" t="str">
        <x:v>B0156</x:v>
      </x:c>
    </x:row>
    <x:row r="171" ht="35" customHeight="1">
      <x:c r="A171" s="2" t="str">
        <x:v>B0162</x:v>
      </x:c>
      <x:c r="B171" s="2" t="str">
        <x:v>GIRO</x:v>
      </x:c>
      <x:c r="C171" s="13" t="n">
        <x:v>45554</x:v>
      </x:c>
      <x:c r="D171" s="14" t="str">
        <x:v>Kirchengemeinde Am Fliederbogen</x:v>
      </x:c>
      <x:c r="E171" s="14" t="str">
        <x:v>Gemeindespende</x:v>
      </x:c>
      <x:c r="F171" s="12" t="n">
        <x:v>-15</x:v>
      </x:c>
      <x:c r="G171" s="13" t="n">
        <x:v>45554</x:v>
      </x:c>
      <x:c r="H171" s="2" t="str">
        <x:v>02_Konten/GIRO_2024-09.pdf</x:v>
      </x:c>
      <x:c r="I171" s="2" t="str"/>
      <x:c r="J171" s="2" t="str">
        <x:v>B0162</x:v>
      </x:c>
    </x:row>
    <x:row r="172" ht="35" customHeight="1">
      <x:c r="A172" s="2" t="str">
        <x:v>B0157</x:v>
      </x:c>
      <x:c r="B172" s="2" t="str">
        <x:v>GIRO</x:v>
      </x:c>
      <x:c r="C172" s="13" t="n">
        <x:v>45555</x:v>
      </x:c>
      <x:c r="D172" s="14" t="str">
        <x:v>Tierladen Pfötchen</x:v>
      </x:c>
      <x:c r="E172" s="14" t="str">
        <x:v>Futter und Streu für Kater Mürbchen</x:v>
      </x:c>
      <x:c r="F172" s="12" t="n">
        <x:v>-48.5</x:v>
      </x:c>
      <x:c r="G172" s="13" t="n">
        <x:v>45555</x:v>
      </x:c>
      <x:c r="H172" s="2" t="str">
        <x:v>02_Konten/GIRO_2024-09.pdf</x:v>
      </x:c>
      <x:c r="I172" s="2" t="str"/>
      <x:c r="J172" s="2" t="str">
        <x:v>B0157</x:v>
      </x:c>
    </x:row>
    <x:row r="173" ht="35" customHeight="1">
      <x:c r="A173" s="2" t="str">
        <x:v>B0158</x:v>
      </x:c>
      <x:c r="B173" s="2" t="str">
        <x:v>GIRO</x:v>
      </x:c>
      <x:c r="C173" s="13" t="n">
        <x:v>45558</x:v>
      </x:c>
      <x:c r="D173" s="14" t="str">
        <x:v>SofaKino Digital GmbH</x:v>
      </x:c>
      <x:c r="E173" s="14" t="str">
        <x:v>Monatsabo SK-77380 / 2024-09</x:v>
      </x:c>
      <x:c r="F173" s="12" t="n">
        <x:v>-12.99</x:v>
      </x:c>
      <x:c r="G173" s="13" t="n">
        <x:v>45558</x:v>
      </x:c>
      <x:c r="H173" s="2" t="str">
        <x:v>02_Konten/GIRO_2024-09.pdf</x:v>
      </x:c>
      <x:c r="I173" s="2" t="str"/>
      <x:c r="J173" s="2" t="str">
        <x:v>B0158</x:v>
      </x:c>
    </x:row>
    <x:row r="174" ht="35" customHeight="1">
      <x:c r="A174" s="2" t="str">
        <x:v>B0163</x:v>
      </x:c>
      <x:c r="B174" s="2" t="str">
        <x:v>GIRO</x:v>
      </x:c>
      <x:c r="C174" s="13" t="n">
        <x:v>45558</x:v>
      </x:c>
      <x:c r="D174" s="14" t="str">
        <x:v>Adelheid Pfister Sparen</x:v>
      </x:c>
      <x:c r="E174" s="14" t="str">
        <x:v>Umbuchung auf eigenes Sparkonto</x:v>
      </x:c>
      <x:c r="F174" s="12" t="n">
        <x:v>-250</x:v>
      </x:c>
      <x:c r="G174" s="13" t="n">
        <x:v>45558</x:v>
      </x:c>
      <x:c r="H174" s="2" t="str">
        <x:v>02_Konten/GIRO_2024-09.pdf</x:v>
      </x:c>
      <x:c r="I174" s="2" t="str"/>
      <x:c r="J174" s="2" t="str">
        <x:v>B0163</x:v>
      </x:c>
    </x:row>
    <x:row r="175" ht="35" customHeight="1">
      <x:c r="A175" s="2" t="str">
        <x:v>B0164</x:v>
      </x:c>
      <x:c r="B175" s="2" t="str">
        <x:v>SPAR</x:v>
      </x:c>
      <x:c r="C175" s="13" t="n">
        <x:v>45558</x:v>
      </x:c>
      <x:c r="D175" s="14" t="str">
        <x:v>Adelheid Pfister Giro</x:v>
      </x:c>
      <x:c r="E175" s="14" t="str">
        <x:v>Umbuchung vom eigenen Girokonto</x:v>
      </x:c>
      <x:c r="F175" s="12" t="n">
        <x:v>250</x:v>
      </x:c>
      <x:c r="G175" s="13" t="n">
        <x:v>45558</x:v>
      </x:c>
      <x:c r="H175" s="2" t="str">
        <x:v>02_Konten/SPAR_2024-09.pdf</x:v>
      </x:c>
      <x:c r="I175" s="2" t="str"/>
      <x:c r="J175" s="2" t="str">
        <x:v>B0164</x:v>
      </x:c>
    </x:row>
    <x:row r="176" ht="35" customHeight="1">
      <x:c r="A176" s="2" t="str">
        <x:v>B0161</x:v>
      </x:c>
      <x:c r="B176" s="2" t="str">
        <x:v>GIRO</x:v>
      </x:c>
      <x:c r="C176" s="13" t="n">
        <x:v>45559</x:v>
      </x:c>
      <x:c r="D176" s="14" t="str">
        <x:v>Egon Knusper</x:v>
      </x:c>
      <x:c r="E176" s="14" t="str">
        <x:v>Pauschale Einkauf und Technik 2024-09</x:v>
      </x:c>
      <x:c r="F176" s="12" t="n">
        <x:v>-145</x:v>
      </x:c>
      <x:c r="G176" s="13" t="n">
        <x:v>45559</x:v>
      </x:c>
      <x:c r="H176" s="2" t="str">
        <x:v>02_Konten/GIRO_2024-09.pdf</x:v>
      </x:c>
      <x:c r="I176" s="2" t="str"/>
      <x:c r="J176" s="2" t="str">
        <x:v>B0161</x:v>
      </x:c>
    </x:row>
    <x:row r="177" ht="35" customHeight="1">
      <x:c r="A177" s="2" t="str">
        <x:v>B0159</x:v>
      </x:c>
      <x:c r="B177" s="2" t="str">
        <x:v>GIRO</x:v>
      </x:c>
      <x:c r="C177" s="13" t="n">
        <x:v>45561</x:v>
      </x:c>
      <x:c r="D177" s="14" t="str">
        <x:v>Fensterbank Spree eG</x:v>
      </x:c>
      <x:c r="E177" s="14" t="str">
        <x:v>Kontoführung 2024-09</x:v>
      </x:c>
      <x:c r="F177" s="12" t="n">
        <x:v>-6.9</x:v>
      </x:c>
      <x:c r="G177" s="13" t="n">
        <x:v>45561</x:v>
      </x:c>
      <x:c r="H177" s="2" t="str">
        <x:v>02_Konten/GIRO_2024-09.pdf</x:v>
      </x:c>
      <x:c r="I177" s="2" t="str"/>
      <x:c r="J177" s="2" t="str">
        <x:v>B0159</x:v>
      </x:c>
    </x:row>
    <x:row r="178" ht="35" customHeight="1">
      <x:c r="A178" s="2" t="str">
        <x:v>B0148</x:v>
      </x:c>
      <x:c r="B178" s="2" t="str">
        <x:v>GIRO</x:v>
      </x:c>
      <x:c r="C178" s="13" t="n">
        <x:v>45565</x:v>
      </x:c>
      <x:c r="D178" s="14" t="str">
        <x:v>Rentenstelle Nord</x:v>
      </x:c>
      <x:c r="E178" s="14" t="str">
        <x:v>Altersrente 2024-09</x:v>
      </x:c>
      <x:c r="F178" s="12" t="n">
        <x:v>1960</x:v>
      </x:c>
      <x:c r="G178" s="13" t="n">
        <x:v>45565</x:v>
      </x:c>
      <x:c r="H178" s="2" t="str">
        <x:v>02_Konten/GIRO_2024-09.pdf</x:v>
      </x:c>
      <x:c r="I178" s="2" t="str"/>
      <x:c r="J178" s="2" t="str">
        <x:v>B0148</x:v>
      </x:c>
    </x:row>
    <x:row r="179" ht="35" customHeight="1">
      <x:c r="A179" s="2" t="str">
        <x:v>B0149</x:v>
      </x:c>
      <x:c r="B179" s="2" t="str">
        <x:v>GIRO</x:v>
      </x:c>
      <x:c r="C179" s="13" t="n">
        <x:v>45565</x:v>
      </x:c>
      <x:c r="D179" s="14" t="str">
        <x:v>Rentenstelle Nord</x:v>
      </x:c>
      <x:c r="E179" s="14" t="str">
        <x:v>Hinterbliebenenrente 2024-09</x:v>
      </x:c>
      <x:c r="F179" s="12" t="n">
        <x:v>485</x:v>
      </x:c>
      <x:c r="G179" s="13" t="n">
        <x:v>45565</x:v>
      </x:c>
      <x:c r="H179" s="2" t="str">
        <x:v>02_Konten/GIRO_2024-09.pdf</x:v>
      </x:c>
      <x:c r="I179" s="2" t="str"/>
      <x:c r="J179" s="2" t="str">
        <x:v>B0149</x:v>
      </x:c>
    </x:row>
    <x:row r="180" ht="35" customHeight="1">
      <x:c r="A180" s="2" t="str">
        <x:v>B0167</x:v>
      </x:c>
      <x:c r="B180" s="2" t="str">
        <x:v>GIRO</x:v>
      </x:c>
      <x:c r="C180" s="13" t="n">
        <x:v>45568</x:v>
      </x:c>
      <x:c r="D180" s="14" t="str">
        <x:v>Hausverwaltung Lindenblatt KG</x:v>
      </x:c>
      <x:c r="E180" s="14" t="str">
        <x:v>Warmmiete Fliederbogen 17 / 2024-10</x:v>
      </x:c>
      <x:c r="F180" s="12" t="n">
        <x:v>-780</x:v>
      </x:c>
      <x:c r="G180" s="13" t="n">
        <x:v>45568</x:v>
      </x:c>
      <x:c r="H180" s="2" t="str">
        <x:v>02_Konten/GIRO_2024-10.pdf</x:v>
      </x:c>
      <x:c r="I180" s="2" t="str"/>
      <x:c r="J180" s="2" t="str">
        <x:v>B0167</x:v>
      </x:c>
    </x:row>
    <x:row r="181" ht="35" customHeight="1">
      <x:c r="A181" s="2" t="str">
        <x:v>B0555</x:v>
      </x:c>
      <x:c r="B181" s="2" t="str">
        <x:v>GIRO</x:v>
      </x:c>
      <x:c r="C181" s="13" t="n">
        <x:v>45569</x:v>
      </x:c>
      <x:c r="D181" s="14" t="str">
        <x:v>Ruprecht Pfister</x:v>
      </x:c>
      <x:c r="E181" s="14" t="str">
        <x:v>Darlehen Reparatur Transporter</x:v>
      </x:c>
      <x:c r="F181" s="12" t="n">
        <x:v>-1200</x:v>
      </x:c>
      <x:c r="G181" s="13" t="n">
        <x:v>45569</x:v>
      </x:c>
      <x:c r="H181" s="2" t="str">
        <x:v>02_Konten/GIRO_2024-10.pdf</x:v>
      </x:c>
      <x:c r="I181" s="2" t="str"/>
      <x:c r="J181" s="2" t="str">
        <x:v>B0555</x:v>
      </x:c>
    </x:row>
    <x:row r="182" ht="35" customHeight="1">
      <x:c r="A182" s="2" t="str">
        <x:v>B0168</x:v>
      </x:c>
      <x:c r="B182" s="2" t="str">
        <x:v>GIRO</x:v>
      </x:c>
      <x:c r="C182" s="13" t="n">
        <x:v>45572</x:v>
      </x:c>
      <x:c r="D182" s="14" t="str">
        <x:v>Nordlicht Energie Berlin GmbH</x:v>
      </x:c>
      <x:c r="E182" s="14" t="str">
        <x:v>Abschlag Kundennummer NE-48017 / 2024-10</x:v>
      </x:c>
      <x:c r="F182" s="12" t="n">
        <x:v>-72</x:v>
      </x:c>
      <x:c r="G182" s="13" t="n">
        <x:v>45572</x:v>
      </x:c>
      <x:c r="H182" s="2" t="str">
        <x:v>02_Konten/GIRO_2024-10.pdf</x:v>
      </x:c>
      <x:c r="I182" s="2" t="str"/>
      <x:c r="J182" s="2" t="str">
        <x:v>B0168</x:v>
      </x:c>
    </x:row>
    <x:row r="183" ht="35" customHeight="1">
      <x:c r="A183" s="2" t="str">
        <x:v>B0169</x:v>
      </x:c>
      <x:c r="B183" s="2" t="str">
        <x:v>GIRO</x:v>
      </x:c>
      <x:c r="C183" s="13" t="n">
        <x:v>45573</x:v>
      </x:c>
      <x:c r="D183" s="14" t="str">
        <x:v>Sprechfink Telekom GmbH</x:v>
      </x:c>
      <x:c r="E183" s="14" t="str">
        <x:v>Festnetz und Internet SP-118044 / 2024-10</x:v>
      </x:c>
      <x:c r="F183" s="12" t="n">
        <x:v>-39.99</x:v>
      </x:c>
      <x:c r="G183" s="13" t="n">
        <x:v>45573</x:v>
      </x:c>
      <x:c r="H183" s="2" t="str">
        <x:v>02_Konten/GIRO_2024-10.pdf</x:v>
      </x:c>
      <x:c r="I183" s="2" t="str"/>
      <x:c r="J183" s="2" t="str">
        <x:v>B0169</x:v>
      </x:c>
    </x:row>
    <x:row r="184" ht="35" customHeight="1">
      <x:c r="A184" s="2" t="str">
        <x:v>B0177</x:v>
      </x:c>
      <x:c r="B184" s="2" t="str">
        <x:v>GIRO</x:v>
      </x:c>
      <x:c r="C184" s="13" t="n">
        <x:v>45574</x:v>
      </x:c>
      <x:c r="D184" s="14" t="str">
        <x:v>Glücksfenster Service GmbH</x:v>
      </x:c>
      <x:c r="E184" s="14" t="str">
        <x:v>Teilnahmeservice GF-90335 / 2024-10</x:v>
      </x:c>
      <x:c r="F184" s="12" t="n">
        <x:v>-29.9</x:v>
      </x:c>
      <x:c r="G184" s="13" t="n">
        <x:v>45574</x:v>
      </x:c>
      <x:c r="H184" s="2" t="str">
        <x:v>02_Konten/GIRO_2024-10.pdf</x:v>
      </x:c>
      <x:c r="I184" s="2" t="str"/>
      <x:c r="J184" s="2" t="str">
        <x:v>B0177</x:v>
      </x:c>
    </x:row>
    <x:row r="185" ht="35" customHeight="1">
      <x:c r="A185" s="2" t="str">
        <x:v>B0170</x:v>
      </x:c>
      <x:c r="B185" s="2" t="str">
        <x:v>GIRO</x:v>
      </x:c>
      <x:c r="C185" s="13" t="n">
        <x:v>45579</x:v>
      </x:c>
      <x:c r="D185" s="14" t="str">
        <x:v>Alltagshilfe Mohnblüte GmbH</x:v>
      </x:c>
      <x:c r="E185" s="14" t="str">
        <x:v>Haushaltshilfe Rechnung MH-2024-10</x:v>
      </x:c>
      <x:c r="F185" s="12" t="n">
        <x:v>-126.5</x:v>
      </x:c>
      <x:c r="G185" s="13" t="n">
        <x:v>45579</x:v>
      </x:c>
      <x:c r="H185" s="2" t="str">
        <x:v>02_Konten/GIRO_2024-10.pdf</x:v>
      </x:c>
      <x:c r="I185" s="2" t="str">
        <x:v>MH-2024-10</x:v>
      </x:c>
      <x:c r="J185" s="2" t="str">
        <x:v>B0170</x:v>
      </x:c>
    </x:row>
    <x:row r="186" ht="35" customHeight="1">
      <x:c r="A186" s="2" t="str">
        <x:v>B0171</x:v>
      </x:c>
      <x:c r="B186" s="2" t="str">
        <x:v>GIRO</x:v>
      </x:c>
      <x:c r="C186" s="13" t="n">
        <x:v>45579</x:v>
      </x:c>
      <x:c r="D186" s="14" t="str">
        <x:v>Frischemarkt Karow</x:v>
      </x:c>
      <x:c r="E186" s="14" t="str">
        <x:v>Kartenzahlung Lebensmittel, Belegserie FK 2024-10</x:v>
      </x:c>
      <x:c r="F186" s="12" t="n">
        <x:v>-231.44</x:v>
      </x:c>
      <x:c r="G186" s="13" t="n">
        <x:v>45579</x:v>
      </x:c>
      <x:c r="H186" s="2" t="str">
        <x:v>02_Konten/GIRO_2024-10.pdf</x:v>
      </x:c>
      <x:c r="I186" s="2" t="str"/>
      <x:c r="J186" s="2" t="str">
        <x:v>B0171</x:v>
      </x:c>
    </x:row>
    <x:row r="187" ht="35" customHeight="1">
      <x:c r="A187" s="2" t="str">
        <x:v>B0172</x:v>
      </x:c>
      <x:c r="B187" s="2" t="str">
        <x:v>GIRO</x:v>
      </x:c>
      <x:c r="C187" s="13" t="n">
        <x:v>45580</x:v>
      </x:c>
      <x:c r="D187" s="14" t="str">
        <x:v>Apotheke Silberblatt</x:v>
      </x:c>
      <x:c r="E187" s="14" t="str">
        <x:v>Zuzahlung und Pflegebedarf 2024-10</x:v>
      </x:c>
      <x:c r="F187" s="12" t="n">
        <x:v>-38.06</x:v>
      </x:c>
      <x:c r="G187" s="13" t="n">
        <x:v>45580</x:v>
      </x:c>
      <x:c r="H187" s="2" t="str">
        <x:v>02_Konten/GIRO_2024-10.pdf</x:v>
      </x:c>
      <x:c r="I187" s="2" t="str">
        <x:v>AP-2024-10</x:v>
      </x:c>
      <x:c r="J187" s="2" t="str">
        <x:v>B0172</x:v>
      </x:c>
    </x:row>
    <x:row r="188" ht="35" customHeight="1">
      <x:c r="A188" s="2" t="str">
        <x:v>B0173</x:v>
      </x:c>
      <x:c r="B188" s="2" t="str">
        <x:v>GIRO</x:v>
      </x:c>
      <x:c r="C188" s="13" t="n">
        <x:v>45583</x:v>
      </x:c>
      <x:c r="D188" s="14" t="str">
        <x:v>Geldautomat Karow</x:v>
      </x:c>
      <x:c r="E188" s="14" t="str">
        <x:v>Bargeldauszahlung Karte 0441, Terminal KA-03</x:v>
      </x:c>
      <x:c r="F188" s="12" t="n">
        <x:v>-200</x:v>
      </x:c>
      <x:c r="G188" s="13" t="n">
        <x:v>45583</x:v>
      </x:c>
      <x:c r="H188" s="2" t="str">
        <x:v>02_Konten/GIRO_2024-10.pdf</x:v>
      </x:c>
      <x:c r="I188" s="2" t="str"/>
      <x:c r="J188" s="2" t="str">
        <x:v>B0173</x:v>
      </x:c>
    </x:row>
    <x:row r="189" ht="35" customHeight="1">
      <x:c r="A189" s="2" t="str">
        <x:v>B0174</x:v>
      </x:c>
      <x:c r="B189" s="2" t="str">
        <x:v>GIRO</x:v>
      </x:c>
      <x:c r="C189" s="13" t="n">
        <x:v>45586</x:v>
      </x:c>
      <x:c r="D189" s="14" t="str">
        <x:v>Tierladen Pfötchen</x:v>
      </x:c>
      <x:c r="E189" s="14" t="str">
        <x:v>Futter und Streu für Kater Mürbchen</x:v>
      </x:c>
      <x:c r="F189" s="12" t="n">
        <x:v>-48.5</x:v>
      </x:c>
      <x:c r="G189" s="13" t="n">
        <x:v>45586</x:v>
      </x:c>
      <x:c r="H189" s="2" t="str">
        <x:v>02_Konten/GIRO_2024-10.pdf</x:v>
      </x:c>
      <x:c r="I189" s="2" t="str"/>
      <x:c r="J189" s="2" t="str">
        <x:v>B0174</x:v>
      </x:c>
    </x:row>
    <x:row r="190" ht="35" customHeight="1">
      <x:c r="A190" s="2" t="str">
        <x:v>B0175</x:v>
      </x:c>
      <x:c r="B190" s="2" t="str">
        <x:v>GIRO</x:v>
      </x:c>
      <x:c r="C190" s="13" t="n">
        <x:v>45587</x:v>
      </x:c>
      <x:c r="D190" s="14" t="str">
        <x:v>SofaKino Digital GmbH</x:v>
      </x:c>
      <x:c r="E190" s="14" t="str">
        <x:v>Monatsabo SK-77380 / 2024-10</x:v>
      </x:c>
      <x:c r="F190" s="12" t="n">
        <x:v>-12.99</x:v>
      </x:c>
      <x:c r="G190" s="13" t="n">
        <x:v>45587</x:v>
      </x:c>
      <x:c r="H190" s="2" t="str">
        <x:v>02_Konten/GIRO_2024-10.pdf</x:v>
      </x:c>
      <x:c r="I190" s="2" t="str"/>
      <x:c r="J190" s="2" t="str">
        <x:v>B0175</x:v>
      </x:c>
    </x:row>
    <x:row r="191" ht="35" customHeight="1">
      <x:c r="A191" s="2" t="str">
        <x:v>B0178</x:v>
      </x:c>
      <x:c r="B191" s="2" t="str">
        <x:v>GIRO</x:v>
      </x:c>
      <x:c r="C191" s="13" t="n">
        <x:v>45589</x:v>
      </x:c>
      <x:c r="D191" s="14" t="str">
        <x:v>Egon Knusper</x:v>
      </x:c>
      <x:c r="E191" s="14" t="str">
        <x:v>Pauschale Einkauf und Technik 2024-10</x:v>
      </x:c>
      <x:c r="F191" s="12" t="n">
        <x:v>-145</x:v>
      </x:c>
      <x:c r="G191" s="13" t="n">
        <x:v>45589</x:v>
      </x:c>
      <x:c r="H191" s="2" t="str">
        <x:v>02_Konten/GIRO_2024-10.pdf</x:v>
      </x:c>
      <x:c r="I191" s="2" t="str"/>
      <x:c r="J191" s="2" t="str">
        <x:v>B0178</x:v>
      </x:c>
    </x:row>
    <x:row r="192" ht="35" customHeight="1">
      <x:c r="A192" s="2" t="str">
        <x:v>B0165</x:v>
      </x:c>
      <x:c r="B192" s="2" t="str">
        <x:v>GIRO</x:v>
      </x:c>
      <x:c r="C192" s="13" t="n">
        <x:v>45593</x:v>
      </x:c>
      <x:c r="D192" s="14" t="str">
        <x:v>Rentenstelle Nord</x:v>
      </x:c>
      <x:c r="E192" s="14" t="str">
        <x:v>Altersrente 2024-10</x:v>
      </x:c>
      <x:c r="F192" s="12" t="n">
        <x:v>1960</x:v>
      </x:c>
      <x:c r="G192" s="13" t="n">
        <x:v>45593</x:v>
      </x:c>
      <x:c r="H192" s="2" t="str">
        <x:v>02_Konten/GIRO_2024-10.pdf</x:v>
      </x:c>
      <x:c r="I192" s="2" t="str"/>
      <x:c r="J192" s="2" t="str">
        <x:v>B0165</x:v>
      </x:c>
    </x:row>
    <x:row r="193" ht="35" customHeight="1">
      <x:c r="A193" s="2" t="str">
        <x:v>B0166</x:v>
      </x:c>
      <x:c r="B193" s="2" t="str">
        <x:v>GIRO</x:v>
      </x:c>
      <x:c r="C193" s="13" t="n">
        <x:v>45593</x:v>
      </x:c>
      <x:c r="D193" s="14" t="str">
        <x:v>Rentenstelle Nord</x:v>
      </x:c>
      <x:c r="E193" s="14" t="str">
        <x:v>Hinterbliebenenrente 2024-10</x:v>
      </x:c>
      <x:c r="F193" s="12" t="n">
        <x:v>485</x:v>
      </x:c>
      <x:c r="G193" s="13" t="n">
        <x:v>45593</x:v>
      </x:c>
      <x:c r="H193" s="2" t="str">
        <x:v>02_Konten/GIRO_2024-10.pdf</x:v>
      </x:c>
      <x:c r="I193" s="2" t="str"/>
      <x:c r="J193" s="2" t="str">
        <x:v>B0166</x:v>
      </x:c>
    </x:row>
    <x:row r="194" ht="35" customHeight="1">
      <x:c r="A194" s="2" t="str">
        <x:v>B0176</x:v>
      </x:c>
      <x:c r="B194" s="2" t="str">
        <x:v>GIRO</x:v>
      </x:c>
      <x:c r="C194" s="13" t="n">
        <x:v>45593</x:v>
      </x:c>
      <x:c r="D194" s="14" t="str">
        <x:v>Fensterbank Spree eG</x:v>
      </x:c>
      <x:c r="E194" s="14" t="str">
        <x:v>Kontoführung 2024-10</x:v>
      </x:c>
      <x:c r="F194" s="12" t="n">
        <x:v>-6.9</x:v>
      </x:c>
      <x:c r="G194" s="13" t="n">
        <x:v>45593</x:v>
      </x:c>
      <x:c r="H194" s="2" t="str">
        <x:v>02_Konten/GIRO_2024-10.pdf</x:v>
      </x:c>
      <x:c r="I194" s="2" t="str"/>
      <x:c r="J194" s="2" t="str">
        <x:v>B0176</x:v>
      </x:c>
    </x:row>
    <x:row r="195" ht="35" customHeight="1">
      <x:c r="A195" s="2" t="str">
        <x:v>B0181</x:v>
      </x:c>
      <x:c r="B195" s="2" t="str">
        <x:v>GIRO</x:v>
      </x:c>
      <x:c r="C195" s="13" t="n">
        <x:v>45600</x:v>
      </x:c>
      <x:c r="D195" s="14" t="str">
        <x:v>Hausverwaltung Lindenblatt KG</x:v>
      </x:c>
      <x:c r="E195" s="14" t="str">
        <x:v>Warmmiete Fliederbogen 17 / 2024-11</x:v>
      </x:c>
      <x:c r="F195" s="12" t="n">
        <x:v>-780</x:v>
      </x:c>
      <x:c r="G195" s="13" t="n">
        <x:v>45600</x:v>
      </x:c>
      <x:c r="H195" s="2" t="str">
        <x:v>02_Konten/GIRO_2024-11.pdf</x:v>
      </x:c>
      <x:c r="I195" s="2" t="str"/>
      <x:c r="J195" s="2" t="str">
        <x:v>B0181</x:v>
      </x:c>
    </x:row>
    <x:row r="196" ht="35" customHeight="1">
      <x:c r="A196" s="2" t="str">
        <x:v>B0182</x:v>
      </x:c>
      <x:c r="B196" s="2" t="str">
        <x:v>GIRO</x:v>
      </x:c>
      <x:c r="C196" s="13" t="n">
        <x:v>45602</x:v>
      </x:c>
      <x:c r="D196" s="14" t="str">
        <x:v>Nordlicht Energie Berlin GmbH</x:v>
      </x:c>
      <x:c r="E196" s="14" t="str">
        <x:v>Abschlag Kundennummer NE-48017 / 2024-11</x:v>
      </x:c>
      <x:c r="F196" s="12" t="n">
        <x:v>-72</x:v>
      </x:c>
      <x:c r="G196" s="13" t="n">
        <x:v>45602</x:v>
      </x:c>
      <x:c r="H196" s="2" t="str">
        <x:v>02_Konten/GIRO_2024-11.pdf</x:v>
      </x:c>
      <x:c r="I196" s="2" t="str"/>
      <x:c r="J196" s="2" t="str">
        <x:v>B0182</x:v>
      </x:c>
    </x:row>
    <x:row r="197" ht="35" customHeight="1">
      <x:c r="A197" s="2" t="str">
        <x:v>B0183</x:v>
      </x:c>
      <x:c r="B197" s="2" t="str">
        <x:v>GIRO</x:v>
      </x:c>
      <x:c r="C197" s="13" t="n">
        <x:v>45604</x:v>
      </x:c>
      <x:c r="D197" s="14" t="str">
        <x:v>Sprechfink Telekom GmbH</x:v>
      </x:c>
      <x:c r="E197" s="14" t="str">
        <x:v>Festnetz und Internet SP-118044 / 2024-11</x:v>
      </x:c>
      <x:c r="F197" s="12" t="n">
        <x:v>-39.99</x:v>
      </x:c>
      <x:c r="G197" s="13" t="n">
        <x:v>45604</x:v>
      </x:c>
      <x:c r="H197" s="2" t="str">
        <x:v>02_Konten/GIRO_2024-11.pdf</x:v>
      </x:c>
      <x:c r="I197" s="2" t="str"/>
      <x:c r="J197" s="2" t="str">
        <x:v>B0183</x:v>
      </x:c>
    </x:row>
    <x:row r="198" ht="35" customHeight="1">
      <x:c r="A198" s="2" t="str">
        <x:v>B0191</x:v>
      </x:c>
      <x:c r="B198" s="2" t="str">
        <x:v>GIRO</x:v>
      </x:c>
      <x:c r="C198" s="13" t="n">
        <x:v>45607</x:v>
      </x:c>
      <x:c r="D198" s="14" t="str">
        <x:v>Glücksfenster Service GmbH</x:v>
      </x:c>
      <x:c r="E198" s="14" t="str">
        <x:v>Teilnahmeservice GF-90335 / 2024-11</x:v>
      </x:c>
      <x:c r="F198" s="12" t="n">
        <x:v>-29.9</x:v>
      </x:c>
      <x:c r="G198" s="13" t="n">
        <x:v>45607</x:v>
      </x:c>
      <x:c r="H198" s="2" t="str">
        <x:v>02_Konten/GIRO_2024-11.pdf</x:v>
      </x:c>
      <x:c r="I198" s="2" t="str"/>
      <x:c r="J198" s="2" t="str">
        <x:v>B0191</x:v>
      </x:c>
    </x:row>
    <x:row r="199" ht="35" customHeight="1">
      <x:c r="A199" s="2" t="str">
        <x:v>B0184</x:v>
      </x:c>
      <x:c r="B199" s="2" t="str">
        <x:v>GIRO</x:v>
      </x:c>
      <x:c r="C199" s="13" t="n">
        <x:v>45608</x:v>
      </x:c>
      <x:c r="D199" s="14" t="str">
        <x:v>Alltagshilfe Mohnblüte GmbH</x:v>
      </x:c>
      <x:c r="E199" s="14" t="str">
        <x:v>Haushaltshilfe Rechnung MH-2024-11</x:v>
      </x:c>
      <x:c r="F199" s="12" t="n">
        <x:v>-126.5</x:v>
      </x:c>
      <x:c r="G199" s="13" t="n">
        <x:v>45608</x:v>
      </x:c>
      <x:c r="H199" s="2" t="str">
        <x:v>02_Konten/GIRO_2024-11.pdf</x:v>
      </x:c>
      <x:c r="I199" s="2" t="str">
        <x:v>MH-2024-11</x:v>
      </x:c>
      <x:c r="J199" s="2" t="str">
        <x:v>B0184</x:v>
      </x:c>
    </x:row>
    <x:row r="200" ht="35" customHeight="1">
      <x:c r="A200" s="2" t="str">
        <x:v>B0185</x:v>
      </x:c>
      <x:c r="B200" s="2" t="str">
        <x:v>GIRO</x:v>
      </x:c>
      <x:c r="C200" s="13" t="n">
        <x:v>45610</x:v>
      </x:c>
      <x:c r="D200" s="14" t="str">
        <x:v>Frischemarkt Karow</x:v>
      </x:c>
      <x:c r="E200" s="14" t="str">
        <x:v>Kartenzahlung Lebensmittel, Belegserie FK 2024-11</x:v>
      </x:c>
      <x:c r="F200" s="12" t="n">
        <x:v>-232.81</x:v>
      </x:c>
      <x:c r="G200" s="13" t="n">
        <x:v>45610</x:v>
      </x:c>
      <x:c r="H200" s="2" t="str">
        <x:v>02_Konten/GIRO_2024-11.pdf</x:v>
      </x:c>
      <x:c r="I200" s="2" t="str"/>
      <x:c r="J200" s="2" t="str">
        <x:v>B0185</x:v>
      </x:c>
    </x:row>
    <x:row r="201" ht="35" customHeight="1">
      <x:c r="A201" s="2" t="str">
        <x:v>B0186</x:v>
      </x:c>
      <x:c r="B201" s="2" t="str">
        <x:v>GIRO</x:v>
      </x:c>
      <x:c r="C201" s="13" t="n">
        <x:v>45611</x:v>
      </x:c>
      <x:c r="D201" s="14" t="str">
        <x:v>Apotheke Silberblatt</x:v>
      </x:c>
      <x:c r="E201" s="14" t="str">
        <x:v>Zuzahlung und Pflegebedarf 2024-11</x:v>
      </x:c>
      <x:c r="F201" s="12" t="n">
        <x:v>-39.19</x:v>
      </x:c>
      <x:c r="G201" s="13" t="n">
        <x:v>45611</x:v>
      </x:c>
      <x:c r="H201" s="2" t="str">
        <x:v>02_Konten/GIRO_2024-11.pdf</x:v>
      </x:c>
      <x:c r="I201" s="2" t="str"/>
      <x:c r="J201" s="2" t="str">
        <x:v>B0186</x:v>
      </x:c>
    </x:row>
    <x:row r="202" ht="35" customHeight="1">
      <x:c r="A202" s="2" t="str">
        <x:v>B0187</x:v>
      </x:c>
      <x:c r="B202" s="2" t="str">
        <x:v>GIRO</x:v>
      </x:c>
      <x:c r="C202" s="13" t="n">
        <x:v>45614</x:v>
      </x:c>
      <x:c r="D202" s="14" t="str">
        <x:v>Geldautomat Karow</x:v>
      </x:c>
      <x:c r="E202" s="14" t="str">
        <x:v>Bargeldauszahlung Karte 0441, Terminal KA-03</x:v>
      </x:c>
      <x:c r="F202" s="12" t="n">
        <x:v>-200</x:v>
      </x:c>
      <x:c r="G202" s="13" t="n">
        <x:v>45614</x:v>
      </x:c>
      <x:c r="H202" s="2" t="str">
        <x:v>02_Konten/GIRO_2024-11.pdf</x:v>
      </x:c>
      <x:c r="I202" s="2" t="str"/>
      <x:c r="J202" s="2" t="str">
        <x:v>B0187</x:v>
      </x:c>
    </x:row>
    <x:row r="203" ht="35" customHeight="1">
      <x:c r="A203" s="2" t="str">
        <x:v>B0188</x:v>
      </x:c>
      <x:c r="B203" s="2" t="str">
        <x:v>GIRO</x:v>
      </x:c>
      <x:c r="C203" s="13" t="n">
        <x:v>45616</x:v>
      </x:c>
      <x:c r="D203" s="14" t="str">
        <x:v>Tierladen Pfötchen</x:v>
      </x:c>
      <x:c r="E203" s="14" t="str">
        <x:v>Futter und Streu für Kater Mürbchen</x:v>
      </x:c>
      <x:c r="F203" s="12" t="n">
        <x:v>-48.5</x:v>
      </x:c>
      <x:c r="G203" s="13" t="n">
        <x:v>45616</x:v>
      </x:c>
      <x:c r="H203" s="2" t="str">
        <x:v>02_Konten/GIRO_2024-11.pdf</x:v>
      </x:c>
      <x:c r="I203" s="2" t="str"/>
      <x:c r="J203" s="2" t="str">
        <x:v>B0188</x:v>
      </x:c>
    </x:row>
    <x:row r="204" ht="35" customHeight="1">
      <x:c r="A204" s="2" t="str">
        <x:v>B0189</x:v>
      </x:c>
      <x:c r="B204" s="2" t="str">
        <x:v>GIRO</x:v>
      </x:c>
      <x:c r="C204" s="13" t="n">
        <x:v>45618</x:v>
      </x:c>
      <x:c r="D204" s="14" t="str">
        <x:v>SofaKino Digital GmbH</x:v>
      </x:c>
      <x:c r="E204" s="14" t="str">
        <x:v>Monatsabo SK-77380 / 2024-11</x:v>
      </x:c>
      <x:c r="F204" s="12" t="n">
        <x:v>-12.99</x:v>
      </x:c>
      <x:c r="G204" s="13" t="n">
        <x:v>45618</x:v>
      </x:c>
      <x:c r="H204" s="2" t="str">
        <x:v>02_Konten/GIRO_2024-11.pdf</x:v>
      </x:c>
      <x:c r="I204" s="2" t="str"/>
      <x:c r="J204" s="2" t="str">
        <x:v>B0189</x:v>
      </x:c>
    </x:row>
    <x:row r="205" ht="35" customHeight="1">
      <x:c r="A205" s="2" t="str">
        <x:v>B0192</x:v>
      </x:c>
      <x:c r="B205" s="2" t="str">
        <x:v>GIRO</x:v>
      </x:c>
      <x:c r="C205" s="13" t="n">
        <x:v>45621</x:v>
      </x:c>
      <x:c r="D205" s="14" t="str">
        <x:v>Egon Knusper</x:v>
      </x:c>
      <x:c r="E205" s="14" t="str">
        <x:v>Pauschale Einkauf und Technik 2024-11</x:v>
      </x:c>
      <x:c r="F205" s="12" t="n">
        <x:v>-145</x:v>
      </x:c>
      <x:c r="G205" s="13" t="n">
        <x:v>45621</x:v>
      </x:c>
      <x:c r="H205" s="2" t="str">
        <x:v>02_Konten/GIRO_2024-11.pdf</x:v>
      </x:c>
      <x:c r="I205" s="2" t="str"/>
      <x:c r="J205" s="2" t="str">
        <x:v>B0192</x:v>
      </x:c>
    </x:row>
    <x:row r="206" ht="35" customHeight="1">
      <x:c r="A206" s="2" t="str">
        <x:v>B0190</x:v>
      </x:c>
      <x:c r="B206" s="2" t="str">
        <x:v>GIRO</x:v>
      </x:c>
      <x:c r="C206" s="13" t="n">
        <x:v>45622</x:v>
      </x:c>
      <x:c r="D206" s="14" t="str">
        <x:v>Fensterbank Spree eG</x:v>
      </x:c>
      <x:c r="E206" s="14" t="str">
        <x:v>Kontoführung 2024-11</x:v>
      </x:c>
      <x:c r="F206" s="12" t="n">
        <x:v>-6.9</x:v>
      </x:c>
      <x:c r="G206" s="13" t="n">
        <x:v>45622</x:v>
      </x:c>
      <x:c r="H206" s="2" t="str">
        <x:v>02_Konten/GIRO_2024-11.pdf</x:v>
      </x:c>
      <x:c r="I206" s="2" t="str"/>
      <x:c r="J206" s="2" t="str">
        <x:v>B0190</x:v>
      </x:c>
    </x:row>
    <x:row r="207" ht="35" customHeight="1">
      <x:c r="A207" s="2" t="str">
        <x:v>B0179</x:v>
      </x:c>
      <x:c r="B207" s="2" t="str">
        <x:v>GIRO</x:v>
      </x:c>
      <x:c r="C207" s="13" t="n">
        <x:v>45624</x:v>
      </x:c>
      <x:c r="D207" s="14" t="str">
        <x:v>Rentenstelle Nord</x:v>
      </x:c>
      <x:c r="E207" s="14" t="str">
        <x:v>Altersrente 2024-11</x:v>
      </x:c>
      <x:c r="F207" s="12" t="n">
        <x:v>1960</x:v>
      </x:c>
      <x:c r="G207" s="13" t="n">
        <x:v>45624</x:v>
      </x:c>
      <x:c r="H207" s="2" t="str">
        <x:v>02_Konten/GIRO_2024-11.pdf</x:v>
      </x:c>
      <x:c r="I207" s="2" t="str"/>
      <x:c r="J207" s="2" t="str">
        <x:v>B0179</x:v>
      </x:c>
    </x:row>
    <x:row r="208" ht="35" customHeight="1">
      <x:c r="A208" s="2" t="str">
        <x:v>B0180</x:v>
      </x:c>
      <x:c r="B208" s="2" t="str">
        <x:v>GIRO</x:v>
      </x:c>
      <x:c r="C208" s="13" t="n">
        <x:v>45624</x:v>
      </x:c>
      <x:c r="D208" s="14" t="str">
        <x:v>Rentenstelle Nord</x:v>
      </x:c>
      <x:c r="E208" s="14" t="str">
        <x:v>Hinterbliebenenrente 2024-11</x:v>
      </x:c>
      <x:c r="F208" s="12" t="n">
        <x:v>485</x:v>
      </x:c>
      <x:c r="G208" s="13" t="n">
        <x:v>45624</x:v>
      </x:c>
      <x:c r="H208" s="2" t="str">
        <x:v>02_Konten/GIRO_2024-11.pdf</x:v>
      </x:c>
      <x:c r="I208" s="2" t="str"/>
      <x:c r="J208" s="2" t="str">
        <x:v>B0180</x:v>
      </x:c>
    </x:row>
    <x:row r="209" ht="35" customHeight="1">
      <x:c r="A209" s="2" t="str">
        <x:v>B0195</x:v>
      </x:c>
      <x:c r="B209" s="2" t="str">
        <x:v>GIRO</x:v>
      </x:c>
      <x:c r="C209" s="13" t="n">
        <x:v>45629</x:v>
      </x:c>
      <x:c r="D209" s="14" t="str">
        <x:v>Hausverwaltung Lindenblatt KG</x:v>
      </x:c>
      <x:c r="E209" s="14" t="str">
        <x:v>Warmmiete Fliederbogen 17 / 2024-12</x:v>
      </x:c>
      <x:c r="F209" s="12" t="n">
        <x:v>-780</x:v>
      </x:c>
      <x:c r="G209" s="13" t="n">
        <x:v>45629</x:v>
      </x:c>
      <x:c r="H209" s="2" t="str">
        <x:v>02_Konten/GIRO_2024-12.pdf</x:v>
      </x:c>
      <x:c r="I209" s="2" t="str"/>
      <x:c r="J209" s="2" t="str">
        <x:v>B0195</x:v>
      </x:c>
    </x:row>
    <x:row r="210" ht="35" customHeight="1">
      <x:c r="A210" s="2" t="str">
        <x:v>B0196</x:v>
      </x:c>
      <x:c r="B210" s="2" t="str">
        <x:v>GIRO</x:v>
      </x:c>
      <x:c r="C210" s="13" t="n">
        <x:v>45632</x:v>
      </x:c>
      <x:c r="D210" s="14" t="str">
        <x:v>Nordlicht Energie Berlin GmbH</x:v>
      </x:c>
      <x:c r="E210" s="14" t="str">
        <x:v>Abschlag Kundennummer NE-48017 / 2024-12</x:v>
      </x:c>
      <x:c r="F210" s="12" t="n">
        <x:v>-72</x:v>
      </x:c>
      <x:c r="G210" s="13" t="n">
        <x:v>45632</x:v>
      </x:c>
      <x:c r="H210" s="2" t="str">
        <x:v>02_Konten/GIRO_2024-12.pdf</x:v>
      </x:c>
      <x:c r="I210" s="2" t="str"/>
      <x:c r="J210" s="2" t="str">
        <x:v>B0196</x:v>
      </x:c>
    </x:row>
    <x:row r="211" ht="35" customHeight="1">
      <x:c r="A211" s="2" t="str">
        <x:v>B0197</x:v>
      </x:c>
      <x:c r="B211" s="2" t="str">
        <x:v>GIRO</x:v>
      </x:c>
      <x:c r="C211" s="13" t="n">
        <x:v>45635</x:v>
      </x:c>
      <x:c r="D211" s="14" t="str">
        <x:v>Sprechfink Telekom GmbH</x:v>
      </x:c>
      <x:c r="E211" s="14" t="str">
        <x:v>Festnetz und Internet SP-118044 / 2024-12</x:v>
      </x:c>
      <x:c r="F211" s="12" t="n">
        <x:v>-39.99</x:v>
      </x:c>
      <x:c r="G211" s="13" t="n">
        <x:v>45635</x:v>
      </x:c>
      <x:c r="H211" s="2" t="str">
        <x:v>02_Konten/GIRO_2024-12.pdf</x:v>
      </x:c>
      <x:c r="I211" s="2" t="str"/>
      <x:c r="J211" s="2" t="str">
        <x:v>B0197</x:v>
      </x:c>
    </x:row>
    <x:row r="212" ht="35" customHeight="1">
      <x:c r="A212" s="2" t="str">
        <x:v>B0205</x:v>
      </x:c>
      <x:c r="B212" s="2" t="str">
        <x:v>GIRO</x:v>
      </x:c>
      <x:c r="C212" s="13" t="n">
        <x:v>45635</x:v>
      </x:c>
      <x:c r="D212" s="14" t="str">
        <x:v>Glücksfenster Service GmbH</x:v>
      </x:c>
      <x:c r="E212" s="14" t="str">
        <x:v>Teilnahmeservice GF-90335 / 2024-12</x:v>
      </x:c>
      <x:c r="F212" s="12" t="n">
        <x:v>-29.9</x:v>
      </x:c>
      <x:c r="G212" s="13" t="n">
        <x:v>45635</x:v>
      </x:c>
      <x:c r="H212" s="2" t="str">
        <x:v>02_Konten/GIRO_2024-12.pdf</x:v>
      </x:c>
      <x:c r="I212" s="2" t="str"/>
      <x:c r="J212" s="2" t="str">
        <x:v>B0205</x:v>
      </x:c>
    </x:row>
    <x:row r="213" ht="35" customHeight="1">
      <x:c r="A213" s="2" t="str">
        <x:v>B0198</x:v>
      </x:c>
      <x:c r="B213" s="2" t="str">
        <x:v>GIRO</x:v>
      </x:c>
      <x:c r="C213" s="13" t="n">
        <x:v>45638</x:v>
      </x:c>
      <x:c r="D213" s="14" t="str">
        <x:v>Alltagshilfe Mohnblüte GmbH</x:v>
      </x:c>
      <x:c r="E213" s="14" t="str">
        <x:v>Haushaltshilfe Rechnung MH-2024-12</x:v>
      </x:c>
      <x:c r="F213" s="12" t="n">
        <x:v>-126.5</x:v>
      </x:c>
      <x:c r="G213" s="13" t="n">
        <x:v>45638</x:v>
      </x:c>
      <x:c r="H213" s="2" t="str">
        <x:v>02_Konten/GIRO_2024-12.pdf</x:v>
      </x:c>
      <x:c r="I213" s="2" t="str">
        <x:v>MH-2024-12</x:v>
      </x:c>
      <x:c r="J213" s="2" t="str">
        <x:v>B0198</x:v>
      </x:c>
    </x:row>
    <x:row r="214" ht="35" customHeight="1">
      <x:c r="A214" s="2" t="str">
        <x:v>B0556</x:v>
      </x:c>
      <x:c r="B214" s="2" t="str">
        <x:v>GIRO</x:v>
      </x:c>
      <x:c r="C214" s="13" t="n">
        <x:v>45638</x:v>
      </x:c>
      <x:c r="D214" s="14" t="str">
        <x:v>Hausverwaltung Lindenblatt KG</x:v>
      </x:c>
      <x:c r="E214" s="14" t="str">
        <x:v>Betriebskostennachzahlung 2023 HV-23</x:v>
      </x:c>
      <x:c r="F214" s="12" t="n">
        <x:v>-320</x:v>
      </x:c>
      <x:c r="G214" s="13" t="n">
        <x:v>45638</x:v>
      </x:c>
      <x:c r="H214" s="2" t="str">
        <x:v>02_Konten/GIRO_2024-12.pdf</x:v>
      </x:c>
      <x:c r="I214" s="2" t="str">
        <x:v>HV-23</x:v>
      </x:c>
      <x:c r="J214" s="2" t="str">
        <x:v>B0556</x:v>
      </x:c>
    </x:row>
    <x:row r="215" ht="35" customHeight="1">
      <x:c r="A215" s="2" t="str">
        <x:v>B0199</x:v>
      </x:c>
      <x:c r="B215" s="2" t="str">
        <x:v>GIRO</x:v>
      </x:c>
      <x:c r="C215" s="13" t="n">
        <x:v>45642</x:v>
      </x:c>
      <x:c r="D215" s="14" t="str">
        <x:v>Frischemarkt Karow</x:v>
      </x:c>
      <x:c r="E215" s="14" t="str">
        <x:v>Kartenzahlung Lebensmittel, Belegserie FK 2024-12</x:v>
      </x:c>
      <x:c r="F215" s="12" t="n">
        <x:v>-234.18</x:v>
      </x:c>
      <x:c r="G215" s="13" t="n">
        <x:v>45642</x:v>
      </x:c>
      <x:c r="H215" s="2" t="str">
        <x:v>02_Konten/GIRO_2024-12.pdf</x:v>
      </x:c>
      <x:c r="I215" s="2" t="str"/>
      <x:c r="J215" s="2" t="str">
        <x:v>B0199</x:v>
      </x:c>
    </x:row>
    <x:row r="216" ht="35" customHeight="1">
      <x:c r="A216" s="2" t="str">
        <x:v>B0200</x:v>
      </x:c>
      <x:c r="B216" s="2" t="str">
        <x:v>GIRO</x:v>
      </x:c>
      <x:c r="C216" s="13" t="n">
        <x:v>45642</x:v>
      </x:c>
      <x:c r="D216" s="14" t="str">
        <x:v>Apotheke Silberblatt</x:v>
      </x:c>
      <x:c r="E216" s="14" t="str">
        <x:v>Zuzahlung und Pflegebedarf 2024-12</x:v>
      </x:c>
      <x:c r="F216" s="12" t="n">
        <x:v>-40.32</x:v>
      </x:c>
      <x:c r="G216" s="13" t="n">
        <x:v>45642</x:v>
      </x:c>
      <x:c r="H216" s="2" t="str">
        <x:v>02_Konten/GIRO_2024-12.pdf</x:v>
      </x:c>
      <x:c r="I216" s="2" t="str"/>
      <x:c r="J216" s="2" t="str">
        <x:v>B0200</x:v>
      </x:c>
    </x:row>
    <x:row r="217" ht="35" customHeight="1">
      <x:c r="A217" s="2" t="str">
        <x:v>B0201</x:v>
      </x:c>
      <x:c r="B217" s="2" t="str">
        <x:v>GIRO</x:v>
      </x:c>
      <x:c r="C217" s="13" t="n">
        <x:v>45644</x:v>
      </x:c>
      <x:c r="D217" s="14" t="str">
        <x:v>Geldautomat Karow</x:v>
      </x:c>
      <x:c r="E217" s="14" t="str">
        <x:v>Bargeldauszahlung Karte 0441, Terminal KA-03</x:v>
      </x:c>
      <x:c r="F217" s="12" t="n">
        <x:v>-200</x:v>
      </x:c>
      <x:c r="G217" s="13" t="n">
        <x:v>45644</x:v>
      </x:c>
      <x:c r="H217" s="2" t="str">
        <x:v>02_Konten/GIRO_2024-12.pdf</x:v>
      </x:c>
      <x:c r="I217" s="2" t="str"/>
      <x:c r="J217" s="2" t="str">
        <x:v>B0201</x:v>
      </x:c>
    </x:row>
    <x:row r="218" ht="35" customHeight="1">
      <x:c r="A218" s="2" t="str">
        <x:v>B0207</x:v>
      </x:c>
      <x:c r="B218" s="2" t="str">
        <x:v>GIRO</x:v>
      </x:c>
      <x:c r="C218" s="13" t="n">
        <x:v>45645</x:v>
      </x:c>
      <x:c r="D218" s="14" t="str">
        <x:v>Kirchengemeinde Am Fliederbogen</x:v>
      </x:c>
      <x:c r="E218" s="14" t="str">
        <x:v>Gemeindespende</x:v>
      </x:c>
      <x:c r="F218" s="12" t="n">
        <x:v>-15</x:v>
      </x:c>
      <x:c r="G218" s="13" t="n">
        <x:v>45645</x:v>
      </x:c>
      <x:c r="H218" s="2" t="str">
        <x:v>02_Konten/GIRO_2024-12.pdf</x:v>
      </x:c>
      <x:c r="I218" s="2" t="str"/>
      <x:c r="J218" s="2" t="str">
        <x:v>B0207</x:v>
      </x:c>
    </x:row>
    <x:row r="219" ht="35" customHeight="1">
      <x:c r="A219" s="2" t="str">
        <x:v>B0202</x:v>
      </x:c>
      <x:c r="B219" s="2" t="str">
        <x:v>GIRO</x:v>
      </x:c>
      <x:c r="C219" s="13" t="n">
        <x:v>45646</x:v>
      </x:c>
      <x:c r="D219" s="14" t="str">
        <x:v>Tierladen Pfötchen</x:v>
      </x:c>
      <x:c r="E219" s="14" t="str">
        <x:v>Futter und Streu für Kater Mürbchen</x:v>
      </x:c>
      <x:c r="F219" s="12" t="n">
        <x:v>-48.5</x:v>
      </x:c>
      <x:c r="G219" s="13" t="n">
        <x:v>45646</x:v>
      </x:c>
      <x:c r="H219" s="2" t="str">
        <x:v>02_Konten/GIRO_2024-12.pdf</x:v>
      </x:c>
      <x:c r="I219" s="2" t="str"/>
      <x:c r="J219" s="2" t="str">
        <x:v>B0202</x:v>
      </x:c>
    </x:row>
    <x:row r="220" ht="35" customHeight="1">
      <x:c r="A220" s="2" t="str">
        <x:v>B0203</x:v>
      </x:c>
      <x:c r="B220" s="2" t="str">
        <x:v>GIRO</x:v>
      </x:c>
      <x:c r="C220" s="13" t="n">
        <x:v>45649</x:v>
      </x:c>
      <x:c r="D220" s="14" t="str">
        <x:v>SofaKino Digital GmbH</x:v>
      </x:c>
      <x:c r="E220" s="14" t="str">
        <x:v>Monatsabo SK-77380 / 2024-12</x:v>
      </x:c>
      <x:c r="F220" s="12" t="n">
        <x:v>-12.99</x:v>
      </x:c>
      <x:c r="G220" s="13" t="n">
        <x:v>45649</x:v>
      </x:c>
      <x:c r="H220" s="2" t="str">
        <x:v>02_Konten/GIRO_2024-12.pdf</x:v>
      </x:c>
      <x:c r="I220" s="2" t="str"/>
      <x:c r="J220" s="2" t="str">
        <x:v>B0203</x:v>
      </x:c>
    </x:row>
    <x:row r="221" ht="35" customHeight="1">
      <x:c r="A221" s="2" t="str">
        <x:v>B0208</x:v>
      </x:c>
      <x:c r="B221" s="2" t="str">
        <x:v>GIRO</x:v>
      </x:c>
      <x:c r="C221" s="13" t="n">
        <x:v>45649</x:v>
      </x:c>
      <x:c r="D221" s="14" t="str">
        <x:v>Adelheid Pfister Sparen</x:v>
      </x:c>
      <x:c r="E221" s="14" t="str">
        <x:v>Umbuchung auf eigenes Sparkonto</x:v>
      </x:c>
      <x:c r="F221" s="12" t="n">
        <x:v>-250</x:v>
      </x:c>
      <x:c r="G221" s="13" t="n">
        <x:v>45649</x:v>
      </x:c>
      <x:c r="H221" s="2" t="str">
        <x:v>02_Konten/GIRO_2024-12.pdf</x:v>
      </x:c>
      <x:c r="I221" s="2" t="str"/>
      <x:c r="J221" s="2" t="str">
        <x:v>B0208</x:v>
      </x:c>
    </x:row>
    <x:row r="222" ht="35" customHeight="1">
      <x:c r="A222" s="2" t="str">
        <x:v>B0209</x:v>
      </x:c>
      <x:c r="B222" s="2" t="str">
        <x:v>SPAR</x:v>
      </x:c>
      <x:c r="C222" s="13" t="n">
        <x:v>45649</x:v>
      </x:c>
      <x:c r="D222" s="14" t="str">
        <x:v>Adelheid Pfister Giro</x:v>
      </x:c>
      <x:c r="E222" s="14" t="str">
        <x:v>Umbuchung vom eigenen Girokonto</x:v>
      </x:c>
      <x:c r="F222" s="12" t="n">
        <x:v>250</x:v>
      </x:c>
      <x:c r="G222" s="13" t="n">
        <x:v>45649</x:v>
      </x:c>
      <x:c r="H222" s="2" t="str">
        <x:v>02_Konten/SPAR_2024-12.pdf</x:v>
      </x:c>
      <x:c r="I222" s="2" t="str"/>
      <x:c r="J222" s="2" t="str">
        <x:v>B0209</x:v>
      </x:c>
    </x:row>
    <x:row r="223" ht="35" customHeight="1">
      <x:c r="A223" s="2" t="str">
        <x:v>B0206</x:v>
      </x:c>
      <x:c r="B223" s="2" t="str">
        <x:v>GIRO</x:v>
      </x:c>
      <x:c r="C223" s="13" t="n">
        <x:v>45650</x:v>
      </x:c>
      <x:c r="D223" s="14" t="str">
        <x:v>Egon Knusper</x:v>
      </x:c>
      <x:c r="E223" s="14" t="str">
        <x:v>Pauschale Einkauf und Technik 2024-12</x:v>
      </x:c>
      <x:c r="F223" s="12" t="n">
        <x:v>-145</x:v>
      </x:c>
      <x:c r="G223" s="13" t="n">
        <x:v>45650</x:v>
      </x:c>
      <x:c r="H223" s="2" t="str">
        <x:v>02_Konten/GIRO_2024-12.pdf</x:v>
      </x:c>
      <x:c r="I223" s="2" t="str"/>
      <x:c r="J223" s="2" t="str">
        <x:v>B0206</x:v>
      </x:c>
    </x:row>
    <x:row r="224" ht="35" customHeight="1">
      <x:c r="A224" s="2" t="str">
        <x:v>B0204</x:v>
      </x:c>
      <x:c r="B224" s="2" t="str">
        <x:v>GIRO</x:v>
      </x:c>
      <x:c r="C224" s="13" t="n">
        <x:v>45652</x:v>
      </x:c>
      <x:c r="D224" s="14" t="str">
        <x:v>Fensterbank Spree eG</x:v>
      </x:c>
      <x:c r="E224" s="14" t="str">
        <x:v>Kontoführung 2024-12</x:v>
      </x:c>
      <x:c r="F224" s="12" t="n">
        <x:v>-6.9</x:v>
      </x:c>
      <x:c r="G224" s="13" t="n">
        <x:v>45652</x:v>
      </x:c>
      <x:c r="H224" s="2" t="str">
        <x:v>02_Konten/GIRO_2024-12.pdf</x:v>
      </x:c>
      <x:c r="I224" s="2" t="str"/>
      <x:c r="J224" s="2" t="str">
        <x:v>B0204</x:v>
      </x:c>
    </x:row>
    <x:row r="225" ht="35" customHeight="1">
      <x:c r="A225" s="2" t="str">
        <x:v>B0193</x:v>
      </x:c>
      <x:c r="B225" s="2" t="str">
        <x:v>GIRO</x:v>
      </x:c>
      <x:c r="C225" s="13" t="n">
        <x:v>45656</x:v>
      </x:c>
      <x:c r="D225" s="14" t="str">
        <x:v>Rentenstelle Nord</x:v>
      </x:c>
      <x:c r="E225" s="14" t="str">
        <x:v>Altersrente 2024-12</x:v>
      </x:c>
      <x:c r="F225" s="12" t="n">
        <x:v>1960</x:v>
      </x:c>
      <x:c r="G225" s="13" t="n">
        <x:v>45656</x:v>
      </x:c>
      <x:c r="H225" s="2" t="str">
        <x:v>02_Konten/GIRO_2024-12.pdf</x:v>
      </x:c>
      <x:c r="I225" s="2" t="str"/>
      <x:c r="J225" s="2" t="str">
        <x:v>B0193</x:v>
      </x:c>
    </x:row>
    <x:row r="226" ht="35" customHeight="1">
      <x:c r="A226" s="2" t="str">
        <x:v>B0194</x:v>
      </x:c>
      <x:c r="B226" s="2" t="str">
        <x:v>GIRO</x:v>
      </x:c>
      <x:c r="C226" s="13" t="n">
        <x:v>45656</x:v>
      </x:c>
      <x:c r="D226" s="14" t="str">
        <x:v>Rentenstelle Nord</x:v>
      </x:c>
      <x:c r="E226" s="14" t="str">
        <x:v>Hinterbliebenenrente 2024-12</x:v>
      </x:c>
      <x:c r="F226" s="12" t="n">
        <x:v>485</x:v>
      </x:c>
      <x:c r="G226" s="13" t="n">
        <x:v>45656</x:v>
      </x:c>
      <x:c r="H226" s="2" t="str">
        <x:v>02_Konten/GIRO_2024-12.pdf</x:v>
      </x:c>
      <x:c r="I226" s="2" t="str"/>
      <x:c r="J226" s="2" t="str">
        <x:v>B0194</x:v>
      </x:c>
    </x:row>
    <x:row r="227" ht="35" customHeight="1">
      <x:c r="A227" s="2" t="str">
        <x:v>B0210</x:v>
      </x:c>
      <x:c r="B227" s="2" t="str">
        <x:v>SPAR</x:v>
      </x:c>
      <x:c r="C227" s="13" t="n">
        <x:v>45657</x:v>
      </x:c>
      <x:c r="D227" s="14" t="str">
        <x:v>Fensterbank Spree eG</x:v>
      </x:c>
      <x:c r="E227" s="14" t="str">
        <x:v>Habenzinsen Jahresabschluss</x:v>
      </x:c>
      <x:c r="F227" s="12" t="n">
        <x:v>102.5</x:v>
      </x:c>
      <x:c r="G227" s="13" t="n">
        <x:v>45657</x:v>
      </x:c>
      <x:c r="H227" s="2" t="str">
        <x:v>02_Konten/SPAR_2024-12.pdf</x:v>
      </x:c>
      <x:c r="I227" s="2" t="str"/>
      <x:c r="J227" s="2" t="str">
        <x:v>B0210</x:v>
      </x:c>
    </x:row>
    <x:row r="228" ht="35" customHeight="1">
      <x:c r="A228" s="2" t="str">
        <x:v>B0213</x:v>
      </x:c>
      <x:c r="B228" s="2" t="str">
        <x:v>GIRO</x:v>
      </x:c>
      <x:c r="C228" s="13" t="n">
        <x:v>45660</x:v>
      </x:c>
      <x:c r="D228" s="14" t="str">
        <x:v>Hausverwaltung Lindenblatt KG</x:v>
      </x:c>
      <x:c r="E228" s="14" t="str">
        <x:v>Warmmiete Fliederbogen 17 / 2025-01</x:v>
      </x:c>
      <x:c r="F228" s="12" t="n">
        <x:v>-820</x:v>
      </x:c>
      <x:c r="G228" s="13" t="n">
        <x:v>45660</x:v>
      </x:c>
      <x:c r="H228" s="2" t="str">
        <x:v>02_Konten/GIRO_2025-01.pdf</x:v>
      </x:c>
      <x:c r="I228" s="2" t="str"/>
      <x:c r="J228" s="2" t="str">
        <x:v>B0213</x:v>
      </x:c>
    </x:row>
    <x:row r="229" ht="35" customHeight="1">
      <x:c r="A229" s="2" t="str">
        <x:v>B0214</x:v>
      </x:c>
      <x:c r="B229" s="2" t="str">
        <x:v>GIRO</x:v>
      </x:c>
      <x:c r="C229" s="13" t="n">
        <x:v>45663</x:v>
      </x:c>
      <x:c r="D229" s="14" t="str">
        <x:v>Nordlicht Energie Berlin GmbH</x:v>
      </x:c>
      <x:c r="E229" s="14" t="str">
        <x:v>Abschlag Kundennummer NE-48017 / 2025-01</x:v>
      </x:c>
      <x:c r="F229" s="12" t="n">
        <x:v>-79</x:v>
      </x:c>
      <x:c r="G229" s="13" t="n">
        <x:v>45663</x:v>
      </x:c>
      <x:c r="H229" s="2" t="str">
        <x:v>02_Konten/GIRO_2025-01.pdf</x:v>
      </x:c>
      <x:c r="I229" s="2" t="str"/>
      <x:c r="J229" s="2" t="str">
        <x:v>B0214</x:v>
      </x:c>
    </x:row>
    <x:row r="230" ht="35" customHeight="1">
      <x:c r="A230" s="2" t="str">
        <x:v>B0215</x:v>
      </x:c>
      <x:c r="B230" s="2" t="str">
        <x:v>GIRO</x:v>
      </x:c>
      <x:c r="C230" s="13" t="n">
        <x:v>45665</x:v>
      </x:c>
      <x:c r="D230" s="14" t="str">
        <x:v>Sprechfink Telekom GmbH</x:v>
      </x:c>
      <x:c r="E230" s="14" t="str">
        <x:v>Festnetz und Internet SP-118044 / 2025-01</x:v>
      </x:c>
      <x:c r="F230" s="12" t="n">
        <x:v>-39.99</x:v>
      </x:c>
      <x:c r="G230" s="13" t="n">
        <x:v>45665</x:v>
      </x:c>
      <x:c r="H230" s="2" t="str">
        <x:v>02_Konten/GIRO_2025-01.pdf</x:v>
      </x:c>
      <x:c r="I230" s="2" t="str"/>
      <x:c r="J230" s="2" t="str">
        <x:v>B0215</x:v>
      </x:c>
    </x:row>
    <x:row r="231" ht="35" customHeight="1">
      <x:c r="A231" s="2" t="str">
        <x:v>B0223</x:v>
      </x:c>
      <x:c r="B231" s="2" t="str">
        <x:v>GIRO</x:v>
      </x:c>
      <x:c r="C231" s="13" t="n">
        <x:v>45666</x:v>
      </x:c>
      <x:c r="D231" s="14" t="str">
        <x:v>Glücksfenster Service GmbH</x:v>
      </x:c>
      <x:c r="E231" s="14" t="str">
        <x:v>Teilnahmeservice GF-90335 / 2025-01</x:v>
      </x:c>
      <x:c r="F231" s="12" t="n">
        <x:v>-29.9</x:v>
      </x:c>
      <x:c r="G231" s="13" t="n">
        <x:v>45666</x:v>
      </x:c>
      <x:c r="H231" s="2" t="str">
        <x:v>02_Konten/GIRO_2025-01.pdf</x:v>
      </x:c>
      <x:c r="I231" s="2" t="str"/>
      <x:c r="J231" s="2" t="str">
        <x:v>B0223</x:v>
      </x:c>
    </x:row>
    <x:row r="232" ht="35" customHeight="1">
      <x:c r="A232" s="2" t="str">
        <x:v>B0216</x:v>
      </x:c>
      <x:c r="B232" s="2" t="str">
        <x:v>GIRO</x:v>
      </x:c>
      <x:c r="C232" s="13" t="n">
        <x:v>45670</x:v>
      </x:c>
      <x:c r="D232" s="14" t="str">
        <x:v>Alltagshilfe Mohnblüte GmbH</x:v>
      </x:c>
      <x:c r="E232" s="14" t="str">
        <x:v>Haushaltshilfe Rechnung MH-2025-01</x:v>
      </x:c>
      <x:c r="F232" s="12" t="n">
        <x:v>-126.5</x:v>
      </x:c>
      <x:c r="G232" s="13" t="n">
        <x:v>45670</x:v>
      </x:c>
      <x:c r="H232" s="2" t="str">
        <x:v>02_Konten/GIRO_2025-01.pdf</x:v>
      </x:c>
      <x:c r="I232" s="2" t="str">
        <x:v>MH-2025-01</x:v>
      </x:c>
      <x:c r="J232" s="2" t="str">
        <x:v>B0216</x:v>
      </x:c>
    </x:row>
    <x:row r="233" ht="35" customHeight="1">
      <x:c r="A233" s="2" t="str">
        <x:v>B0224</x:v>
      </x:c>
      <x:c r="B233" s="2" t="str">
        <x:v>GIRO</x:v>
      </x:c>
      <x:c r="C233" s="13" t="n">
        <x:v>45670</x:v>
      </x:c>
      <x:c r="D233" s="14" t="str">
        <x:v>LebensKompass Direkt GmbH</x:v>
      </x:c>
      <x:c r="E233" s="14" t="str">
        <x:v>Digitalpaket LK-55771 / 2025-01</x:v>
      </x:c>
      <x:c r="F233" s="12" t="n">
        <x:v>-69.9</x:v>
      </x:c>
      <x:c r="G233" s="13" t="n">
        <x:v>45670</x:v>
      </x:c>
      <x:c r="H233" s="2" t="str">
        <x:v>02_Konten/GIRO_2025-01.pdf</x:v>
      </x:c>
      <x:c r="I233" s="2" t="str"/>
      <x:c r="J233" s="2" t="str">
        <x:v>B0224</x:v>
      </x:c>
    </x:row>
    <x:row r="234" ht="35" customHeight="1">
      <x:c r="A234" s="2" t="str">
        <x:v>B0217</x:v>
      </x:c>
      <x:c r="B234" s="2" t="str">
        <x:v>GIRO</x:v>
      </x:c>
      <x:c r="C234" s="13" t="n">
        <x:v>45671</x:v>
      </x:c>
      <x:c r="D234" s="14" t="str">
        <x:v>Frischemarkt Karow</x:v>
      </x:c>
      <x:c r="E234" s="14" t="str">
        <x:v>Kartenzahlung Lebensmittel, Belegserie FK 2025-01</x:v>
      </x:c>
      <x:c r="F234" s="12" t="n">
        <x:v>-235.55</x:v>
      </x:c>
      <x:c r="G234" s="13" t="n">
        <x:v>45671</x:v>
      </x:c>
      <x:c r="H234" s="2" t="str">
        <x:v>02_Konten/GIRO_2025-01.pdf</x:v>
      </x:c>
      <x:c r="I234" s="2" t="str"/>
      <x:c r="J234" s="2" t="str">
        <x:v>B0217</x:v>
      </x:c>
    </x:row>
    <x:row r="235" ht="35" customHeight="1">
      <x:c r="A235" s="2" t="str">
        <x:v>B0218</x:v>
      </x:c>
      <x:c r="B235" s="2" t="str">
        <x:v>GIRO</x:v>
      </x:c>
      <x:c r="C235" s="13" t="n">
        <x:v>45672</x:v>
      </x:c>
      <x:c r="D235" s="14" t="str">
        <x:v>Apotheke Silberblatt</x:v>
      </x:c>
      <x:c r="E235" s="14" t="str">
        <x:v>Zuzahlung und Pflegebedarf 2025-01</x:v>
      </x:c>
      <x:c r="F235" s="12" t="n">
        <x:v>-41.45</x:v>
      </x:c>
      <x:c r="G235" s="13" t="n">
        <x:v>45672</x:v>
      </x:c>
      <x:c r="H235" s="2" t="str">
        <x:v>02_Konten/GIRO_2025-01.pdf</x:v>
      </x:c>
      <x:c r="I235" s="2" t="str">
        <x:v>AP-2025-01</x:v>
      </x:c>
      <x:c r="J235" s="2" t="str">
        <x:v>B0218</x:v>
      </x:c>
    </x:row>
    <x:row r="236" ht="35" customHeight="1">
      <x:c r="A236" s="2" t="str">
        <x:v>B0557</x:v>
      </x:c>
      <x:c r="B236" s="2" t="str">
        <x:v>GIRO</x:v>
      </x:c>
      <x:c r="C236" s="13" t="n">
        <x:v>45673</x:v>
      </x:c>
      <x:c r="D236" s="14" t="str">
        <x:v>Geldautomat Karow</x:v>
      </x:c>
      <x:c r="E236" s="14" t="str">
        <x:v>Bargeldauszahlung Karte 0441, Terminal KA-03</x:v>
      </x:c>
      <x:c r="F236" s="12" t="n">
        <x:v>-550</x:v>
      </x:c>
      <x:c r="G236" s="13" t="n">
        <x:v>45673</x:v>
      </x:c>
      <x:c r="H236" s="2" t="str">
        <x:v>02_Konten/GIRO_2025-01.pdf</x:v>
      </x:c>
      <x:c r="I236" s="2" t="str"/>
      <x:c r="J236" s="2" t="str">
        <x:v>B0557</x:v>
      </x:c>
    </x:row>
    <x:row r="237" ht="35" customHeight="1">
      <x:c r="A237" s="2" t="str">
        <x:v>B0219</x:v>
      </x:c>
      <x:c r="B237" s="2" t="str">
        <x:v>GIRO</x:v>
      </x:c>
      <x:c r="C237" s="13" t="n">
        <x:v>45677</x:v>
      </x:c>
      <x:c r="D237" s="14" t="str">
        <x:v>Geldautomat Karow</x:v>
      </x:c>
      <x:c r="E237" s="14" t="str">
        <x:v>Bargeldauszahlung Karte 0441, Terminal KA-03</x:v>
      </x:c>
      <x:c r="F237" s="12" t="n">
        <x:v>-200</x:v>
      </x:c>
      <x:c r="G237" s="13" t="n">
        <x:v>45677</x:v>
      </x:c>
      <x:c r="H237" s="2" t="str">
        <x:v>02_Konten/GIRO_2025-01.pdf</x:v>
      </x:c>
      <x:c r="I237" s="2" t="str"/>
      <x:c r="J237" s="2" t="str">
        <x:v>B0219</x:v>
      </x:c>
    </x:row>
    <x:row r="238" ht="35" customHeight="1">
      <x:c r="A238" s="2" t="str">
        <x:v>B0220</x:v>
      </x:c>
      <x:c r="B238" s="2" t="str">
        <x:v>GIRO</x:v>
      </x:c>
      <x:c r="C238" s="13" t="n">
        <x:v>45677</x:v>
      </x:c>
      <x:c r="D238" s="14" t="str">
        <x:v>Tierladen Pfötchen</x:v>
      </x:c>
      <x:c r="E238" s="14" t="str">
        <x:v>Futter und Streu für Kater Mürbchen</x:v>
      </x:c>
      <x:c r="F238" s="12" t="n">
        <x:v>-48.5</x:v>
      </x:c>
      <x:c r="G238" s="13" t="n">
        <x:v>45677</x:v>
      </x:c>
      <x:c r="H238" s="2" t="str">
        <x:v>02_Konten/GIRO_2025-01.pdf</x:v>
      </x:c>
      <x:c r="I238" s="2" t="str"/>
      <x:c r="J238" s="2" t="str">
        <x:v>B0220</x:v>
      </x:c>
    </x:row>
    <x:row r="239" ht="35" customHeight="1">
      <x:c r="A239" s="2" t="str">
        <x:v>B0221</x:v>
      </x:c>
      <x:c r="B239" s="2" t="str">
        <x:v>GIRO</x:v>
      </x:c>
      <x:c r="C239" s="13" t="n">
        <x:v>45679</x:v>
      </x:c>
      <x:c r="D239" s="14" t="str">
        <x:v>SofaKino Digital GmbH</x:v>
      </x:c>
      <x:c r="E239" s="14" t="str">
        <x:v>Monatsabo SK-77380 / 2025-01</x:v>
      </x:c>
      <x:c r="F239" s="12" t="n">
        <x:v>-12.99</x:v>
      </x:c>
      <x:c r="G239" s="13" t="n">
        <x:v>45679</x:v>
      </x:c>
      <x:c r="H239" s="2" t="str">
        <x:v>02_Konten/GIRO_2025-01.pdf</x:v>
      </x:c>
      <x:c r="I239" s="2" t="str"/>
      <x:c r="J239" s="2" t="str">
        <x:v>B0221</x:v>
      </x:c>
    </x:row>
    <x:row r="240" ht="35" customHeight="1">
      <x:c r="A240" s="2" t="str">
        <x:v>B0225</x:v>
      </x:c>
      <x:c r="B240" s="2" t="str">
        <x:v>GIRO</x:v>
      </x:c>
      <x:c r="C240" s="13" t="n">
        <x:v>45681</x:v>
      </x:c>
      <x:c r="D240" s="14" t="str">
        <x:v>Egon Knusper</x:v>
      </x:c>
      <x:c r="E240" s="14" t="str">
        <x:v>Pauschale Einkauf und Technik 2025-01</x:v>
      </x:c>
      <x:c r="F240" s="12" t="n">
        <x:v>-145</x:v>
      </x:c>
      <x:c r="G240" s="13" t="n">
        <x:v>45681</x:v>
      </x:c>
      <x:c r="H240" s="2" t="str">
        <x:v>02_Konten/GIRO_2025-01.pdf</x:v>
      </x:c>
      <x:c r="I240" s="2" t="str"/>
      <x:c r="J240" s="2" t="str">
        <x:v>B0225</x:v>
      </x:c>
    </x:row>
    <x:row r="241" ht="35" customHeight="1">
      <x:c r="A241" s="2" t="str">
        <x:v>B0222</x:v>
      </x:c>
      <x:c r="B241" s="2" t="str">
        <x:v>GIRO</x:v>
      </x:c>
      <x:c r="C241" s="13" t="n">
        <x:v>45684</x:v>
      </x:c>
      <x:c r="D241" s="14" t="str">
        <x:v>Fensterbank Spree eG</x:v>
      </x:c>
      <x:c r="E241" s="14" t="str">
        <x:v>Kontoführung 2025-01</x:v>
      </x:c>
      <x:c r="F241" s="12" t="n">
        <x:v>-6.9</x:v>
      </x:c>
      <x:c r="G241" s="13" t="n">
        <x:v>45684</x:v>
      </x:c>
      <x:c r="H241" s="2" t="str">
        <x:v>02_Konten/GIRO_2025-01.pdf</x:v>
      </x:c>
      <x:c r="I241" s="2" t="str"/>
      <x:c r="J241" s="2" t="str">
        <x:v>B0222</x:v>
      </x:c>
    </x:row>
    <x:row r="242" ht="35" customHeight="1">
      <x:c r="A242" s="2" t="str">
        <x:v>B0211</x:v>
      </x:c>
      <x:c r="B242" s="2" t="str">
        <x:v>GIRO</x:v>
      </x:c>
      <x:c r="C242" s="13" t="n">
        <x:v>45685</x:v>
      </x:c>
      <x:c r="D242" s="14" t="str">
        <x:v>Rentenstelle Nord</x:v>
      </x:c>
      <x:c r="E242" s="14" t="str">
        <x:v>Altersrente 2025-01</x:v>
      </x:c>
      <x:c r="F242" s="12" t="n">
        <x:v>1960</x:v>
      </x:c>
      <x:c r="G242" s="13" t="n">
        <x:v>45685</x:v>
      </x:c>
      <x:c r="H242" s="2" t="str">
        <x:v>02_Konten/GIRO_2025-01.pdf</x:v>
      </x:c>
      <x:c r="I242" s="2" t="str"/>
      <x:c r="J242" s="2" t="str">
        <x:v>B0211</x:v>
      </x:c>
    </x:row>
    <x:row r="243" ht="35" customHeight="1">
      <x:c r="A243" s="2" t="str">
        <x:v>B0212</x:v>
      </x:c>
      <x:c r="B243" s="2" t="str">
        <x:v>GIRO</x:v>
      </x:c>
      <x:c r="C243" s="13" t="n">
        <x:v>45685</x:v>
      </x:c>
      <x:c r="D243" s="14" t="str">
        <x:v>Rentenstelle Nord</x:v>
      </x:c>
      <x:c r="E243" s="14" t="str">
        <x:v>Hinterbliebenenrente 2025-01</x:v>
      </x:c>
      <x:c r="F243" s="12" t="n">
        <x:v>485</x:v>
      </x:c>
      <x:c r="G243" s="13" t="n">
        <x:v>45685</x:v>
      </x:c>
      <x:c r="H243" s="2" t="str">
        <x:v>02_Konten/GIRO_2025-01.pdf</x:v>
      </x:c>
      <x:c r="I243" s="2" t="str"/>
      <x:c r="J243" s="2" t="str">
        <x:v>B0212</x:v>
      </x:c>
    </x:row>
    <x:row r="244" ht="35" customHeight="1">
      <x:c r="A244" s="2" t="str">
        <x:v>B0228</x:v>
      </x:c>
      <x:c r="B244" s="2" t="str">
        <x:v>GIRO</x:v>
      </x:c>
      <x:c r="C244" s="13" t="n">
        <x:v>45691</x:v>
      </x:c>
      <x:c r="D244" s="14" t="str">
        <x:v>Hausverwaltung Lindenblatt KG</x:v>
      </x:c>
      <x:c r="E244" s="14" t="str">
        <x:v>Warmmiete Fliederbogen 17 / 2025-02</x:v>
      </x:c>
      <x:c r="F244" s="12" t="n">
        <x:v>-820</x:v>
      </x:c>
      <x:c r="G244" s="13" t="n">
        <x:v>45691</x:v>
      </x:c>
      <x:c r="H244" s="2" t="str">
        <x:v>02_Konten/GIRO_2025-02.pdf</x:v>
      </x:c>
      <x:c r="I244" s="2" t="str"/>
      <x:c r="J244" s="2" t="str">
        <x:v>B0228</x:v>
      </x:c>
    </x:row>
    <x:row r="245" ht="35" customHeight="1">
      <x:c r="A245" s="2" t="str">
        <x:v>B0229</x:v>
      </x:c>
      <x:c r="B245" s="2" t="str">
        <x:v>GIRO</x:v>
      </x:c>
      <x:c r="C245" s="13" t="n">
        <x:v>45694</x:v>
      </x:c>
      <x:c r="D245" s="14" t="str">
        <x:v>Nordlicht Energie Berlin GmbH</x:v>
      </x:c>
      <x:c r="E245" s="14" t="str">
        <x:v>Abschlag Kundennummer NE-48017 / 2025-02</x:v>
      </x:c>
      <x:c r="F245" s="12" t="n">
        <x:v>-79</x:v>
      </x:c>
      <x:c r="G245" s="13" t="n">
        <x:v>45694</x:v>
      </x:c>
      <x:c r="H245" s="2" t="str">
        <x:v>02_Konten/GIRO_2025-02.pdf</x:v>
      </x:c>
      <x:c r="I245" s="2" t="str"/>
      <x:c r="J245" s="2" t="str">
        <x:v>B0229</x:v>
      </x:c>
    </x:row>
    <x:row r="246" ht="35" customHeight="1">
      <x:c r="A246" s="2" t="str">
        <x:v>B0230</x:v>
      </x:c>
      <x:c r="B246" s="2" t="str">
        <x:v>GIRO</x:v>
      </x:c>
      <x:c r="C246" s="13" t="n">
        <x:v>45698</x:v>
      </x:c>
      <x:c r="D246" s="14" t="str">
        <x:v>Sprechfink Telekom GmbH</x:v>
      </x:c>
      <x:c r="E246" s="14" t="str">
        <x:v>Festnetz und Internet SP-118044 / 2025-02</x:v>
      </x:c>
      <x:c r="F246" s="12" t="n">
        <x:v>-39.99</x:v>
      </x:c>
      <x:c r="G246" s="13" t="n">
        <x:v>45698</x:v>
      </x:c>
      <x:c r="H246" s="2" t="str">
        <x:v>02_Konten/GIRO_2025-02.pdf</x:v>
      </x:c>
      <x:c r="I246" s="2" t="str"/>
      <x:c r="J246" s="2" t="str">
        <x:v>B0230</x:v>
      </x:c>
    </x:row>
    <x:row r="247" ht="35" customHeight="1">
      <x:c r="A247" s="2" t="str">
        <x:v>B0238</x:v>
      </x:c>
      <x:c r="B247" s="2" t="str">
        <x:v>GIRO</x:v>
      </x:c>
      <x:c r="C247" s="13" t="n">
        <x:v>45698</x:v>
      </x:c>
      <x:c r="D247" s="14" t="str">
        <x:v>Glücksfenster Service GmbH</x:v>
      </x:c>
      <x:c r="E247" s="14" t="str">
        <x:v>Teilnahmeservice GF-90335 / 2025-02</x:v>
      </x:c>
      <x:c r="F247" s="12" t="n">
        <x:v>-29.9</x:v>
      </x:c>
      <x:c r="G247" s="13" t="n">
        <x:v>45698</x:v>
      </x:c>
      <x:c r="H247" s="2" t="str">
        <x:v>02_Konten/GIRO_2025-02.pdf</x:v>
      </x:c>
      <x:c r="I247" s="2" t="str"/>
      <x:c r="J247" s="2" t="str">
        <x:v>B0238</x:v>
      </x:c>
    </x:row>
    <x:row r="248" ht="35" customHeight="1">
      <x:c r="A248" s="2" t="str">
        <x:v>B0239</x:v>
      </x:c>
      <x:c r="B248" s="2" t="str">
        <x:v>GIRO</x:v>
      </x:c>
      <x:c r="C248" s="13" t="n">
        <x:v>45699</x:v>
      </x:c>
      <x:c r="D248" s="14" t="str">
        <x:v>LebensKompass Direkt GmbH</x:v>
      </x:c>
      <x:c r="E248" s="14" t="str">
        <x:v>Digitalpaket LK-55771 / 2025-02</x:v>
      </x:c>
      <x:c r="F248" s="12" t="n">
        <x:v>-69.9</x:v>
      </x:c>
      <x:c r="G248" s="13" t="n">
        <x:v>45699</x:v>
      </x:c>
      <x:c r="H248" s="2" t="str">
        <x:v>02_Konten/GIRO_2025-02.pdf</x:v>
      </x:c>
      <x:c r="I248" s="2" t="str"/>
      <x:c r="J248" s="2" t="str">
        <x:v>B0239</x:v>
      </x:c>
    </x:row>
    <x:row r="249" ht="35" customHeight="1">
      <x:c r="A249" s="2" t="str">
        <x:v>B0231</x:v>
      </x:c>
      <x:c r="B249" s="2" t="str">
        <x:v>GIRO</x:v>
      </x:c>
      <x:c r="C249" s="13" t="n">
        <x:v>45700</x:v>
      </x:c>
      <x:c r="D249" s="14" t="str">
        <x:v>Alltagshilfe Mohnblüte GmbH</x:v>
      </x:c>
      <x:c r="E249" s="14" t="str">
        <x:v>Haushaltshilfe Rechnung MH-2025-02</x:v>
      </x:c>
      <x:c r="F249" s="12" t="n">
        <x:v>-126.5</x:v>
      </x:c>
      <x:c r="G249" s="13" t="n">
        <x:v>45700</x:v>
      </x:c>
      <x:c r="H249" s="2" t="str">
        <x:v>02_Konten/GIRO_2025-02.pdf</x:v>
      </x:c>
      <x:c r="I249" s="2" t="str">
        <x:v>MH-2025-02</x:v>
      </x:c>
      <x:c r="J249" s="2" t="str">
        <x:v>B0231</x:v>
      </x:c>
    </x:row>
    <x:row r="250" ht="35" customHeight="1">
      <x:c r="A250" s="2" t="str">
        <x:v>B0232</x:v>
      </x:c>
      <x:c r="B250" s="2" t="str">
        <x:v>GIRO</x:v>
      </x:c>
      <x:c r="C250" s="13" t="n">
        <x:v>45702</x:v>
      </x:c>
      <x:c r="D250" s="14" t="str">
        <x:v>Frischemarkt Karow</x:v>
      </x:c>
      <x:c r="E250" s="14" t="str">
        <x:v>Kartenzahlung Lebensmittel, Belegserie FK 2025-02</x:v>
      </x:c>
      <x:c r="F250" s="12" t="n">
        <x:v>-236.92</x:v>
      </x:c>
      <x:c r="G250" s="13" t="n">
        <x:v>45702</x:v>
      </x:c>
      <x:c r="H250" s="2" t="str">
        <x:v>02_Konten/GIRO_2025-02.pdf</x:v>
      </x:c>
      <x:c r="I250" s="2" t="str"/>
      <x:c r="J250" s="2" t="str">
        <x:v>B0232</x:v>
      </x:c>
    </x:row>
    <x:row r="251" ht="35" customHeight="1">
      <x:c r="A251" s="2" t="str">
        <x:v>B0233</x:v>
      </x:c>
      <x:c r="B251" s="2" t="str">
        <x:v>GIRO</x:v>
      </x:c>
      <x:c r="C251" s="13" t="n">
        <x:v>45705</x:v>
      </x:c>
      <x:c r="D251" s="14" t="str">
        <x:v>Apotheke Silberblatt</x:v>
      </x:c>
      <x:c r="E251" s="14" t="str">
        <x:v>Zuzahlung und Pflegebedarf 2025-02</x:v>
      </x:c>
      <x:c r="F251" s="12" t="n">
        <x:v>-24.58</x:v>
      </x:c>
      <x:c r="G251" s="13" t="n">
        <x:v>45705</x:v>
      </x:c>
      <x:c r="H251" s="2" t="str">
        <x:v>02_Konten/GIRO_2025-02.pdf</x:v>
      </x:c>
      <x:c r="I251" s="2" t="str"/>
      <x:c r="J251" s="2" t="str">
        <x:v>B0233</x:v>
      </x:c>
    </x:row>
    <x:row r="252" ht="35" customHeight="1">
      <x:c r="A252" s="2" t="str">
        <x:v>B0234</x:v>
      </x:c>
      <x:c r="B252" s="2" t="str">
        <x:v>GIRO</x:v>
      </x:c>
      <x:c r="C252" s="13" t="n">
        <x:v>45706</x:v>
      </x:c>
      <x:c r="D252" s="14" t="str">
        <x:v>Geldautomat Karow</x:v>
      </x:c>
      <x:c r="E252" s="14" t="str">
        <x:v>Bargeldauszahlung Karte 0441, Terminal KA-03</x:v>
      </x:c>
      <x:c r="F252" s="12" t="n">
        <x:v>-200</x:v>
      </x:c>
      <x:c r="G252" s="13" t="n">
        <x:v>45706</x:v>
      </x:c>
      <x:c r="H252" s="2" t="str">
        <x:v>02_Konten/GIRO_2025-02.pdf</x:v>
      </x:c>
      <x:c r="I252" s="2" t="str"/>
      <x:c r="J252" s="2" t="str">
        <x:v>B0234</x:v>
      </x:c>
    </x:row>
    <x:row r="253" ht="35" customHeight="1">
      <x:c r="A253" s="2" t="str">
        <x:v>B0235</x:v>
      </x:c>
      <x:c r="B253" s="2" t="str">
        <x:v>GIRO</x:v>
      </x:c>
      <x:c r="C253" s="13" t="n">
        <x:v>45708</x:v>
      </x:c>
      <x:c r="D253" s="14" t="str">
        <x:v>Tierladen Pfötchen</x:v>
      </x:c>
      <x:c r="E253" s="14" t="str">
        <x:v>Futter und Streu für Kater Mürbchen</x:v>
      </x:c>
      <x:c r="F253" s="12" t="n">
        <x:v>-48.5</x:v>
      </x:c>
      <x:c r="G253" s="13" t="n">
        <x:v>45708</x:v>
      </x:c>
      <x:c r="H253" s="2" t="str">
        <x:v>02_Konten/GIRO_2025-02.pdf</x:v>
      </x:c>
      <x:c r="I253" s="2" t="str"/>
      <x:c r="J253" s="2" t="str">
        <x:v>B0235</x:v>
      </x:c>
    </x:row>
    <x:row r="254" ht="35" customHeight="1">
      <x:c r="A254" s="2" t="str">
        <x:v>B0236</x:v>
      </x:c>
      <x:c r="B254" s="2" t="str">
        <x:v>GIRO</x:v>
      </x:c>
      <x:c r="C254" s="13" t="n">
        <x:v>45712</x:v>
      </x:c>
      <x:c r="D254" s="14" t="str">
        <x:v>SofaKino Digital GmbH</x:v>
      </x:c>
      <x:c r="E254" s="14" t="str">
        <x:v>Monatsabo SK-77380 / 2025-02</x:v>
      </x:c>
      <x:c r="F254" s="12" t="n">
        <x:v>-12.99</x:v>
      </x:c>
      <x:c r="G254" s="13" t="n">
        <x:v>45712</x:v>
      </x:c>
      <x:c r="H254" s="2" t="str">
        <x:v>02_Konten/GIRO_2025-02.pdf</x:v>
      </x:c>
      <x:c r="I254" s="2" t="str"/>
      <x:c r="J254" s="2" t="str">
        <x:v>B0236</x:v>
      </x:c>
    </x:row>
    <x:row r="255" ht="35" customHeight="1">
      <x:c r="A255" s="2" t="str">
        <x:v>B0240</x:v>
      </x:c>
      <x:c r="B255" s="2" t="str">
        <x:v>GIRO</x:v>
      </x:c>
      <x:c r="C255" s="13" t="n">
        <x:v>45712</x:v>
      </x:c>
      <x:c r="D255" s="14" t="str">
        <x:v>Egon Knusper</x:v>
      </x:c>
      <x:c r="E255" s="14" t="str">
        <x:v>Pauschale Einkauf und Technik 2025-02</x:v>
      </x:c>
      <x:c r="F255" s="12" t="n">
        <x:v>-145</x:v>
      </x:c>
      <x:c r="G255" s="13" t="n">
        <x:v>45712</x:v>
      </x:c>
      <x:c r="H255" s="2" t="str">
        <x:v>02_Konten/GIRO_2025-02.pdf</x:v>
      </x:c>
      <x:c r="I255" s="2" t="str"/>
      <x:c r="J255" s="2" t="str">
        <x:v>B0240</x:v>
      </x:c>
    </x:row>
    <x:row r="256" ht="35" customHeight="1">
      <x:c r="A256" s="2" t="str">
        <x:v>B0237</x:v>
      </x:c>
      <x:c r="B256" s="2" t="str">
        <x:v>GIRO</x:v>
      </x:c>
      <x:c r="C256" s="13" t="n">
        <x:v>45714</x:v>
      </x:c>
      <x:c r="D256" s="14" t="str">
        <x:v>Fensterbank Spree eG</x:v>
      </x:c>
      <x:c r="E256" s="14" t="str">
        <x:v>Kontoführung 2025-02</x:v>
      </x:c>
      <x:c r="F256" s="12" t="n">
        <x:v>-6.9</x:v>
      </x:c>
      <x:c r="G256" s="13" t="n">
        <x:v>45714</x:v>
      </x:c>
      <x:c r="H256" s="2" t="str">
        <x:v>02_Konten/GIRO_2025-02.pdf</x:v>
      </x:c>
      <x:c r="I256" s="2" t="str"/>
      <x:c r="J256" s="2" t="str">
        <x:v>B0237</x:v>
      </x:c>
    </x:row>
    <x:row r="257" ht="35" customHeight="1">
      <x:c r="A257" s="2" t="str">
        <x:v>B0226</x:v>
      </x:c>
      <x:c r="B257" s="2" t="str">
        <x:v>GIRO</x:v>
      </x:c>
      <x:c r="C257" s="13" t="n">
        <x:v>45716</x:v>
      </x:c>
      <x:c r="D257" s="14" t="str">
        <x:v>Rentenstelle Nord</x:v>
      </x:c>
      <x:c r="E257" s="14" t="str">
        <x:v>Altersrente 2025-02</x:v>
      </x:c>
      <x:c r="F257" s="12" t="n">
        <x:v>1960</x:v>
      </x:c>
      <x:c r="G257" s="13" t="n">
        <x:v>45716</x:v>
      </x:c>
      <x:c r="H257" s="2" t="str">
        <x:v>02_Konten/GIRO_2025-02.pdf</x:v>
      </x:c>
      <x:c r="I257" s="2" t="str"/>
      <x:c r="J257" s="2" t="str">
        <x:v>B0226</x:v>
      </x:c>
    </x:row>
    <x:row r="258" ht="35" customHeight="1">
      <x:c r="A258" s="2" t="str">
        <x:v>B0227</x:v>
      </x:c>
      <x:c r="B258" s="2" t="str">
        <x:v>GIRO</x:v>
      </x:c>
      <x:c r="C258" s="13" t="n">
        <x:v>45716</x:v>
      </x:c>
      <x:c r="D258" s="14" t="str">
        <x:v>Rentenstelle Nord</x:v>
      </x:c>
      <x:c r="E258" s="14" t="str">
        <x:v>Hinterbliebenenrente 2025-02</x:v>
      </x:c>
      <x:c r="F258" s="12" t="n">
        <x:v>485</x:v>
      </x:c>
      <x:c r="G258" s="13" t="n">
        <x:v>45716</x:v>
      </x:c>
      <x:c r="H258" s="2" t="str">
        <x:v>02_Konten/GIRO_2025-02.pdf</x:v>
      </x:c>
      <x:c r="I258" s="2" t="str"/>
      <x:c r="J258" s="2" t="str">
        <x:v>B0227</x:v>
      </x:c>
    </x:row>
    <x:row r="259" ht="35" customHeight="1">
      <x:c r="A259" s="2" t="str">
        <x:v>B0243</x:v>
      </x:c>
      <x:c r="B259" s="2" t="str">
        <x:v>GIRO</x:v>
      </x:c>
      <x:c r="C259" s="13" t="n">
        <x:v>45719</x:v>
      </x:c>
      <x:c r="D259" s="14" t="str">
        <x:v>Hausverwaltung Lindenblatt KG</x:v>
      </x:c>
      <x:c r="E259" s="14" t="str">
        <x:v>Warmmiete Fliederbogen 17 / 2025-03</x:v>
      </x:c>
      <x:c r="F259" s="12" t="n">
        <x:v>-820</x:v>
      </x:c>
      <x:c r="G259" s="13" t="n">
        <x:v>45719</x:v>
      </x:c>
      <x:c r="H259" s="2" t="str">
        <x:v>02_Konten/GIRO_2025-03.pdf</x:v>
      </x:c>
      <x:c r="I259" s="2" t="str"/>
      <x:c r="J259" s="2" t="str">
        <x:v>B0243</x:v>
      </x:c>
    </x:row>
    <x:row r="260" ht="35" customHeight="1">
      <x:c r="A260" s="2" t="str">
        <x:v>B0244</x:v>
      </x:c>
      <x:c r="B260" s="2" t="str">
        <x:v>GIRO</x:v>
      </x:c>
      <x:c r="C260" s="13" t="n">
        <x:v>45722</x:v>
      </x:c>
      <x:c r="D260" s="14" t="str">
        <x:v>Nordlicht Energie Berlin GmbH</x:v>
      </x:c>
      <x:c r="E260" s="14" t="str">
        <x:v>Abschlag Kundennummer NE-48017 / 2025-03</x:v>
      </x:c>
      <x:c r="F260" s="12" t="n">
        <x:v>-79</x:v>
      </x:c>
      <x:c r="G260" s="13" t="n">
        <x:v>45722</x:v>
      </x:c>
      <x:c r="H260" s="2" t="str">
        <x:v>02_Konten/GIRO_2025-03.pdf</x:v>
      </x:c>
      <x:c r="I260" s="2" t="str"/>
      <x:c r="J260" s="2" t="str">
        <x:v>B0244</x:v>
      </x:c>
    </x:row>
    <x:row r="261" ht="35" customHeight="1">
      <x:c r="A261" s="2" t="str">
        <x:v>B0245</x:v>
      </x:c>
      <x:c r="B261" s="2" t="str">
        <x:v>GIRO</x:v>
      </x:c>
      <x:c r="C261" s="13" t="n">
        <x:v>45726</x:v>
      </x:c>
      <x:c r="D261" s="14" t="str">
        <x:v>Sprechfink Telekom GmbH</x:v>
      </x:c>
      <x:c r="E261" s="14" t="str">
        <x:v>Festnetz und Internet SP-118044 / 2025-03</x:v>
      </x:c>
      <x:c r="F261" s="12" t="n">
        <x:v>-39.99</x:v>
      </x:c>
      <x:c r="G261" s="13" t="n">
        <x:v>45726</x:v>
      </x:c>
      <x:c r="H261" s="2" t="str">
        <x:v>02_Konten/GIRO_2025-03.pdf</x:v>
      </x:c>
      <x:c r="I261" s="2" t="str"/>
      <x:c r="J261" s="2" t="str">
        <x:v>B0245</x:v>
      </x:c>
    </x:row>
    <x:row r="262" ht="35" customHeight="1">
      <x:c r="A262" s="2" t="str">
        <x:v>B0253</x:v>
      </x:c>
      <x:c r="B262" s="2" t="str">
        <x:v>GIRO</x:v>
      </x:c>
      <x:c r="C262" s="13" t="n">
        <x:v>45726</x:v>
      </x:c>
      <x:c r="D262" s="14" t="str">
        <x:v>Glücksfenster Service GmbH</x:v>
      </x:c>
      <x:c r="E262" s="14" t="str">
        <x:v>Teilnahmeservice GF-90335 / 2025-03</x:v>
      </x:c>
      <x:c r="F262" s="12" t="n">
        <x:v>-29.9</x:v>
      </x:c>
      <x:c r="G262" s="13" t="n">
        <x:v>45726</x:v>
      </x:c>
      <x:c r="H262" s="2" t="str">
        <x:v>02_Konten/GIRO_2025-03.pdf</x:v>
      </x:c>
      <x:c r="I262" s="2" t="str"/>
      <x:c r="J262" s="2" t="str">
        <x:v>B0253</x:v>
      </x:c>
    </x:row>
    <x:row r="263" ht="35" customHeight="1">
      <x:c r="A263" s="2" t="str">
        <x:v>B0254</x:v>
      </x:c>
      <x:c r="B263" s="2" t="str">
        <x:v>GIRO</x:v>
      </x:c>
      <x:c r="C263" s="13" t="n">
        <x:v>45727</x:v>
      </x:c>
      <x:c r="D263" s="14" t="str">
        <x:v>LebensKompass Direkt GmbH</x:v>
      </x:c>
      <x:c r="E263" s="14" t="str">
        <x:v>Digitalpaket LK-55771 / 2025-03</x:v>
      </x:c>
      <x:c r="F263" s="12" t="n">
        <x:v>-69.9</x:v>
      </x:c>
      <x:c r="G263" s="13" t="n">
        <x:v>45727</x:v>
      </x:c>
      <x:c r="H263" s="2" t="str">
        <x:v>02_Konten/GIRO_2025-03.pdf</x:v>
      </x:c>
      <x:c r="I263" s="2" t="str"/>
      <x:c r="J263" s="2" t="str">
        <x:v>B0254</x:v>
      </x:c>
    </x:row>
    <x:row r="264" ht="35" customHeight="1">
      <x:c r="A264" s="2" t="str">
        <x:v>B0558</x:v>
      </x:c>
      <x:c r="B264" s="2" t="str">
        <x:v>GIRO</x:v>
      </x:c>
      <x:c r="C264" s="13" t="n">
        <x:v>45727</x:v>
      </x:c>
      <x:c r="D264" s="14" t="str">
        <x:v>Nordlicht Energie Berlin GmbH</x:v>
      </x:c>
      <x:c r="E264" s="14" t="str">
        <x:v>Guthaben Jahresabrechnung 2024 NE-2024</x:v>
      </x:c>
      <x:c r="F264" s="12" t="n">
        <x:v>32</x:v>
      </x:c>
      <x:c r="G264" s="13" t="n">
        <x:v>45727</x:v>
      </x:c>
      <x:c r="H264" s="2" t="str">
        <x:v>02_Konten/GIRO_2025-03.pdf</x:v>
      </x:c>
      <x:c r="I264" s="2" t="str">
        <x:v>NE-2024</x:v>
      </x:c>
      <x:c r="J264" s="2" t="str">
        <x:v>B0558</x:v>
      </x:c>
    </x:row>
    <x:row r="265" ht="35" customHeight="1">
      <x:c r="A265" s="2" t="str">
        <x:v>B0246</x:v>
      </x:c>
      <x:c r="B265" s="2" t="str">
        <x:v>GIRO</x:v>
      </x:c>
      <x:c r="C265" s="13" t="n">
        <x:v>45728</x:v>
      </x:c>
      <x:c r="D265" s="14" t="str">
        <x:v>Alltagshilfe Mohnblüte GmbH</x:v>
      </x:c>
      <x:c r="E265" s="14" t="str">
        <x:v>Haushaltshilfe Rechnung MH-2025-03</x:v>
      </x:c>
      <x:c r="F265" s="12" t="n">
        <x:v>-126.5</x:v>
      </x:c>
      <x:c r="G265" s="13" t="n">
        <x:v>45728</x:v>
      </x:c>
      <x:c r="H265" s="2" t="str">
        <x:v>02_Konten/GIRO_2025-03.pdf</x:v>
      </x:c>
      <x:c r="I265" s="2" t="str">
        <x:v>MH-2025-03</x:v>
      </x:c>
      <x:c r="J265" s="2" t="str">
        <x:v>B0246</x:v>
      </x:c>
    </x:row>
    <x:row r="266" ht="35" customHeight="1">
      <x:c r="A266" s="2" t="str">
        <x:v>B0247</x:v>
      </x:c>
      <x:c r="B266" s="2" t="str">
        <x:v>GIRO</x:v>
      </x:c>
      <x:c r="C266" s="13" t="n">
        <x:v>45730</x:v>
      </x:c>
      <x:c r="D266" s="14" t="str">
        <x:v>Frischemarkt Karow</x:v>
      </x:c>
      <x:c r="E266" s="14" t="str">
        <x:v>Kartenzahlung Lebensmittel, Belegserie FK 2025-03</x:v>
      </x:c>
      <x:c r="F266" s="12" t="n">
        <x:v>-238.29</x:v>
      </x:c>
      <x:c r="G266" s="13" t="n">
        <x:v>45730</x:v>
      </x:c>
      <x:c r="H266" s="2" t="str">
        <x:v>02_Konten/GIRO_2025-03.pdf</x:v>
      </x:c>
      <x:c r="I266" s="2" t="str"/>
      <x:c r="J266" s="2" t="str">
        <x:v>B0247</x:v>
      </x:c>
    </x:row>
    <x:row r="267" ht="35" customHeight="1">
      <x:c r="A267" s="2" t="str">
        <x:v>B0248</x:v>
      </x:c>
      <x:c r="B267" s="2" t="str">
        <x:v>GIRO</x:v>
      </x:c>
      <x:c r="C267" s="13" t="n">
        <x:v>45733</x:v>
      </x:c>
      <x:c r="D267" s="14" t="str">
        <x:v>Apotheke Silberblatt</x:v>
      </x:c>
      <x:c r="E267" s="14" t="str">
        <x:v>Zuzahlung und Pflegebedarf 2025-03</x:v>
      </x:c>
      <x:c r="F267" s="12" t="n">
        <x:v>-25.71</x:v>
      </x:c>
      <x:c r="G267" s="13" t="n">
        <x:v>45733</x:v>
      </x:c>
      <x:c r="H267" s="2" t="str">
        <x:v>02_Konten/GIRO_2025-03.pdf</x:v>
      </x:c>
      <x:c r="I267" s="2" t="str"/>
      <x:c r="J267" s="2" t="str">
        <x:v>B0248</x:v>
      </x:c>
    </x:row>
    <x:row r="268" ht="35" customHeight="1">
      <x:c r="A268" s="2" t="str">
        <x:v>B0249</x:v>
      </x:c>
      <x:c r="B268" s="2" t="str">
        <x:v>GIRO</x:v>
      </x:c>
      <x:c r="C268" s="13" t="n">
        <x:v>45734</x:v>
      </x:c>
      <x:c r="D268" s="14" t="str">
        <x:v>Geldautomat Karow</x:v>
      </x:c>
      <x:c r="E268" s="14" t="str">
        <x:v>Bargeldauszahlung Karte 0441, Terminal KA-03</x:v>
      </x:c>
      <x:c r="F268" s="12" t="n">
        <x:v>-200</x:v>
      </x:c>
      <x:c r="G268" s="13" t="n">
        <x:v>45734</x:v>
      </x:c>
      <x:c r="H268" s="2" t="str">
        <x:v>02_Konten/GIRO_2025-03.pdf</x:v>
      </x:c>
      <x:c r="I268" s="2" t="str"/>
      <x:c r="J268" s="2" t="str">
        <x:v>B0249</x:v>
      </x:c>
    </x:row>
    <x:row r="269" ht="35" customHeight="1">
      <x:c r="A269" s="2" t="str">
        <x:v>B0256</x:v>
      </x:c>
      <x:c r="B269" s="2" t="str">
        <x:v>GIRO</x:v>
      </x:c>
      <x:c r="C269" s="13" t="n">
        <x:v>45735</x:v>
      </x:c>
      <x:c r="D269" s="14" t="str">
        <x:v>Kirchengemeinde Am Fliederbogen</x:v>
      </x:c>
      <x:c r="E269" s="14" t="str">
        <x:v>Gemeindespende</x:v>
      </x:c>
      <x:c r="F269" s="12" t="n">
        <x:v>-15</x:v>
      </x:c>
      <x:c r="G269" s="13" t="n">
        <x:v>45735</x:v>
      </x:c>
      <x:c r="H269" s="2" t="str">
        <x:v>02_Konten/GIRO_2025-03.pdf</x:v>
      </x:c>
      <x:c r="I269" s="2" t="str"/>
      <x:c r="J269" s="2" t="str">
        <x:v>B0256</x:v>
      </x:c>
    </x:row>
    <x:row r="270" ht="35" customHeight="1">
      <x:c r="A270" s="2" t="str">
        <x:v>B0250</x:v>
      </x:c>
      <x:c r="B270" s="2" t="str">
        <x:v>GIRO</x:v>
      </x:c>
      <x:c r="C270" s="13" t="n">
        <x:v>45736</x:v>
      </x:c>
      <x:c r="D270" s="14" t="str">
        <x:v>Tierladen Pfötchen</x:v>
      </x:c>
      <x:c r="E270" s="14" t="str">
        <x:v>Futter und Streu für Kater Mürbchen</x:v>
      </x:c>
      <x:c r="F270" s="12" t="n">
        <x:v>-48.5</x:v>
      </x:c>
      <x:c r="G270" s="13" t="n">
        <x:v>45736</x:v>
      </x:c>
      <x:c r="H270" s="2" t="str">
        <x:v>02_Konten/GIRO_2025-03.pdf</x:v>
      </x:c>
      <x:c r="I270" s="2" t="str"/>
      <x:c r="J270" s="2" t="str">
        <x:v>B0250</x:v>
      </x:c>
    </x:row>
    <x:row r="271" ht="35" customHeight="1">
      <x:c r="A271" s="2" t="str">
        <x:v>B0257</x:v>
      </x:c>
      <x:c r="B271" s="2" t="str">
        <x:v>GIRO</x:v>
      </x:c>
      <x:c r="C271" s="13" t="n">
        <x:v>45737</x:v>
      </x:c>
      <x:c r="D271" s="14" t="str">
        <x:v>Adelheid Pfister Sparen</x:v>
      </x:c>
      <x:c r="E271" s="14" t="str">
        <x:v>Umbuchung auf eigenes Sparkonto</x:v>
      </x:c>
      <x:c r="F271" s="12" t="n">
        <x:v>-250</x:v>
      </x:c>
      <x:c r="G271" s="13" t="n">
        <x:v>45737</x:v>
      </x:c>
      <x:c r="H271" s="2" t="str">
        <x:v>02_Konten/GIRO_2025-03.pdf</x:v>
      </x:c>
      <x:c r="I271" s="2" t="str"/>
      <x:c r="J271" s="2" t="str">
        <x:v>B0257</x:v>
      </x:c>
    </x:row>
    <x:row r="272" ht="35" customHeight="1">
      <x:c r="A272" s="2" t="str">
        <x:v>B0258</x:v>
      </x:c>
      <x:c r="B272" s="2" t="str">
        <x:v>SPAR</x:v>
      </x:c>
      <x:c r="C272" s="13" t="n">
        <x:v>45737</x:v>
      </x:c>
      <x:c r="D272" s="14" t="str">
        <x:v>Adelheid Pfister Giro</x:v>
      </x:c>
      <x:c r="E272" s="14" t="str">
        <x:v>Umbuchung vom eigenen Girokonto</x:v>
      </x:c>
      <x:c r="F272" s="12" t="n">
        <x:v>250</x:v>
      </x:c>
      <x:c r="G272" s="13" t="n">
        <x:v>45737</x:v>
      </x:c>
      <x:c r="H272" s="2" t="str">
        <x:v>02_Konten/SPAR_2025-03.pdf</x:v>
      </x:c>
      <x:c r="I272" s="2" t="str"/>
      <x:c r="J272" s="2" t="str">
        <x:v>B0258</x:v>
      </x:c>
    </x:row>
    <x:row r="273" ht="35" customHeight="1">
      <x:c r="A273" s="2" t="str">
        <x:v>B0251</x:v>
      </x:c>
      <x:c r="B273" s="2" t="str">
        <x:v>GIRO</x:v>
      </x:c>
      <x:c r="C273" s="13" t="n">
        <x:v>45740</x:v>
      </x:c>
      <x:c r="D273" s="14" t="str">
        <x:v>SofaKino Digital GmbH</x:v>
      </x:c>
      <x:c r="E273" s="14" t="str">
        <x:v>Monatsabo SK-77380 / 2025-03</x:v>
      </x:c>
      <x:c r="F273" s="12" t="n">
        <x:v>-12.99</x:v>
      </x:c>
      <x:c r="G273" s="13" t="n">
        <x:v>45740</x:v>
      </x:c>
      <x:c r="H273" s="2" t="str">
        <x:v>02_Konten/GIRO_2025-03.pdf</x:v>
      </x:c>
      <x:c r="I273" s="2" t="str"/>
      <x:c r="J273" s="2" t="str">
        <x:v>B0251</x:v>
      </x:c>
    </x:row>
    <x:row r="274" ht="35" customHeight="1">
      <x:c r="A274" s="2" t="str">
        <x:v>B0255</x:v>
      </x:c>
      <x:c r="B274" s="2" t="str">
        <x:v>GIRO</x:v>
      </x:c>
      <x:c r="C274" s="13" t="n">
        <x:v>45740</x:v>
      </x:c>
      <x:c r="D274" s="14" t="str">
        <x:v>Egon Knusper</x:v>
      </x:c>
      <x:c r="E274" s="14" t="str">
        <x:v>Pauschale Einkauf und Technik 2025-03</x:v>
      </x:c>
      <x:c r="F274" s="12" t="n">
        <x:v>-145</x:v>
      </x:c>
      <x:c r="G274" s="13" t="n">
        <x:v>45740</x:v>
      </x:c>
      <x:c r="H274" s="2" t="str">
        <x:v>02_Konten/GIRO_2025-03.pdf</x:v>
      </x:c>
      <x:c r="I274" s="2" t="str"/>
      <x:c r="J274" s="2" t="str">
        <x:v>B0255</x:v>
      </x:c>
    </x:row>
    <x:row r="275" ht="35" customHeight="1">
      <x:c r="A275" s="2" t="str">
        <x:v>B0252</x:v>
      </x:c>
      <x:c r="B275" s="2" t="str">
        <x:v>GIRO</x:v>
      </x:c>
      <x:c r="C275" s="13" t="n">
        <x:v>45742</x:v>
      </x:c>
      <x:c r="D275" s="14" t="str">
        <x:v>Fensterbank Spree eG</x:v>
      </x:c>
      <x:c r="E275" s="14" t="str">
        <x:v>Kontoführung 2025-03</x:v>
      </x:c>
      <x:c r="F275" s="12" t="n">
        <x:v>-6.9</x:v>
      </x:c>
      <x:c r="G275" s="13" t="n">
        <x:v>45742</x:v>
      </x:c>
      <x:c r="H275" s="2" t="str">
        <x:v>02_Konten/GIRO_2025-03.pdf</x:v>
      </x:c>
      <x:c r="I275" s="2" t="str"/>
      <x:c r="J275" s="2" t="str">
        <x:v>B0252</x:v>
      </x:c>
    </x:row>
    <x:row r="276" ht="35" customHeight="1">
      <x:c r="A276" s="2" t="str">
        <x:v>B0241</x:v>
      </x:c>
      <x:c r="B276" s="2" t="str">
        <x:v>GIRO</x:v>
      </x:c>
      <x:c r="C276" s="13" t="n">
        <x:v>45744</x:v>
      </x:c>
      <x:c r="D276" s="14" t="str">
        <x:v>Rentenstelle Nord</x:v>
      </x:c>
      <x:c r="E276" s="14" t="str">
        <x:v>Altersrente 2025-03</x:v>
      </x:c>
      <x:c r="F276" s="12" t="n">
        <x:v>1960</x:v>
      </x:c>
      <x:c r="G276" s="13" t="n">
        <x:v>45744</x:v>
      </x:c>
      <x:c r="H276" s="2" t="str">
        <x:v>02_Konten/GIRO_2025-03.pdf</x:v>
      </x:c>
      <x:c r="I276" s="2" t="str"/>
      <x:c r="J276" s="2" t="str">
        <x:v>B0241</x:v>
      </x:c>
    </x:row>
    <x:row r="277" ht="35" customHeight="1">
      <x:c r="A277" s="2" t="str">
        <x:v>B0242</x:v>
      </x:c>
      <x:c r="B277" s="2" t="str">
        <x:v>GIRO</x:v>
      </x:c>
      <x:c r="C277" s="13" t="n">
        <x:v>45744</x:v>
      </x:c>
      <x:c r="D277" s="14" t="str">
        <x:v>Rentenstelle Nord</x:v>
      </x:c>
      <x:c r="E277" s="14" t="str">
        <x:v>Hinterbliebenenrente 2025-03</x:v>
      </x:c>
      <x:c r="F277" s="12" t="n">
        <x:v>485</x:v>
      </x:c>
      <x:c r="G277" s="13" t="n">
        <x:v>45744</x:v>
      </x:c>
      <x:c r="H277" s="2" t="str">
        <x:v>02_Konten/GIRO_2025-03.pdf</x:v>
      </x:c>
      <x:c r="I277" s="2" t="str"/>
      <x:c r="J277" s="2" t="str">
        <x:v>B0242</x:v>
      </x:c>
    </x:row>
    <x:row r="278" ht="35" customHeight="1">
      <x:c r="A278" s="2" t="str">
        <x:v>B0261</x:v>
      </x:c>
      <x:c r="B278" s="2" t="str">
        <x:v>GIRO</x:v>
      </x:c>
      <x:c r="C278" s="13" t="n">
        <x:v>45750</x:v>
      </x:c>
      <x:c r="D278" s="14" t="str">
        <x:v>Hausverwaltung Lindenblatt KG</x:v>
      </x:c>
      <x:c r="E278" s="14" t="str">
        <x:v>Warmmiete Fliederbogen 17 / 2025-04</x:v>
      </x:c>
      <x:c r="F278" s="12" t="n">
        <x:v>-820</x:v>
      </x:c>
      <x:c r="G278" s="13" t="n">
        <x:v>45750</x:v>
      </x:c>
      <x:c r="H278" s="2" t="str">
        <x:v>02_Konten/GIRO_2025-04.pdf</x:v>
      </x:c>
      <x:c r="I278" s="2" t="str"/>
      <x:c r="J278" s="2" t="str">
        <x:v>B0261</x:v>
      </x:c>
    </x:row>
    <x:row r="279" ht="35" customHeight="1">
      <x:c r="A279" s="2" t="str">
        <x:v>B0262</x:v>
      </x:c>
      <x:c r="B279" s="2" t="str">
        <x:v>GIRO</x:v>
      </x:c>
      <x:c r="C279" s="13" t="n">
        <x:v>45754</x:v>
      </x:c>
      <x:c r="D279" s="14" t="str">
        <x:v>Nordlicht Energie Berlin GmbH</x:v>
      </x:c>
      <x:c r="E279" s="14" t="str">
        <x:v>Abschlag Kundennummer NE-48017 / 2025-04</x:v>
      </x:c>
      <x:c r="F279" s="12" t="n">
        <x:v>-79</x:v>
      </x:c>
      <x:c r="G279" s="13" t="n">
        <x:v>45754</x:v>
      </x:c>
      <x:c r="H279" s="2" t="str">
        <x:v>02_Konten/GIRO_2025-04.pdf</x:v>
      </x:c>
      <x:c r="I279" s="2" t="str"/>
      <x:c r="J279" s="2" t="str">
        <x:v>B0262</x:v>
      </x:c>
    </x:row>
    <x:row r="280" ht="35" customHeight="1">
      <x:c r="A280" s="2" t="str">
        <x:v>B0263</x:v>
      </x:c>
      <x:c r="B280" s="2" t="str">
        <x:v>GIRO</x:v>
      </x:c>
      <x:c r="C280" s="13" t="n">
        <x:v>45755</x:v>
      </x:c>
      <x:c r="D280" s="14" t="str">
        <x:v>Sprechfink Telekom GmbH</x:v>
      </x:c>
      <x:c r="E280" s="14" t="str">
        <x:v>Festnetz und Internet SP-118044 / 2025-04</x:v>
      </x:c>
      <x:c r="F280" s="12" t="n">
        <x:v>-39.99</x:v>
      </x:c>
      <x:c r="G280" s="13" t="n">
        <x:v>45755</x:v>
      </x:c>
      <x:c r="H280" s="2" t="str">
        <x:v>02_Konten/GIRO_2025-04.pdf</x:v>
      </x:c>
      <x:c r="I280" s="2" t="str"/>
      <x:c r="J280" s="2" t="str">
        <x:v>B0263</x:v>
      </x:c>
    </x:row>
    <x:row r="281" ht="35" customHeight="1">
      <x:c r="A281" s="2" t="str">
        <x:v>B0271</x:v>
      </x:c>
      <x:c r="B281" s="2" t="str">
        <x:v>GIRO</x:v>
      </x:c>
      <x:c r="C281" s="13" t="n">
        <x:v>45756</x:v>
      </x:c>
      <x:c r="D281" s="14" t="str">
        <x:v>Glücksfenster Service GmbH</x:v>
      </x:c>
      <x:c r="E281" s="14" t="str">
        <x:v>Teilnahmeservice GF-90335 / 2025-04</x:v>
      </x:c>
      <x:c r="F281" s="12" t="n">
        <x:v>-29.9</x:v>
      </x:c>
      <x:c r="G281" s="13" t="n">
        <x:v>45756</x:v>
      </x:c>
      <x:c r="H281" s="2" t="str">
        <x:v>02_Konten/GIRO_2025-04.pdf</x:v>
      </x:c>
      <x:c r="I281" s="2" t="str"/>
      <x:c r="J281" s="2" t="str">
        <x:v>B0271</x:v>
      </x:c>
    </x:row>
    <x:row r="282" ht="35" customHeight="1">
      <x:c r="A282" s="2" t="str">
        <x:v>B0272</x:v>
      </x:c>
      <x:c r="B282" s="2" t="str">
        <x:v>GIRO</x:v>
      </x:c>
      <x:c r="C282" s="13" t="n">
        <x:v>45758</x:v>
      </x:c>
      <x:c r="D282" s="14" t="str">
        <x:v>LebensKompass Direkt GmbH</x:v>
      </x:c>
      <x:c r="E282" s="14" t="str">
        <x:v>Digitalpaket LK-55771 / 2025-04</x:v>
      </x:c>
      <x:c r="F282" s="12" t="n">
        <x:v>-69.9</x:v>
      </x:c>
      <x:c r="G282" s="13" t="n">
        <x:v>45758</x:v>
      </x:c>
      <x:c r="H282" s="2" t="str">
        <x:v>02_Konten/GIRO_2025-04.pdf</x:v>
      </x:c>
      <x:c r="I282" s="2" t="str"/>
      <x:c r="J282" s="2" t="str">
        <x:v>B0272</x:v>
      </x:c>
    </x:row>
    <x:row r="283" ht="35" customHeight="1">
      <x:c r="A283" s="2" t="str">
        <x:v>B0264</x:v>
      </x:c>
      <x:c r="B283" s="2" t="str">
        <x:v>GIRO</x:v>
      </x:c>
      <x:c r="C283" s="13" t="n">
        <x:v>45761</x:v>
      </x:c>
      <x:c r="D283" s="14" t="str">
        <x:v>Alltagshilfe Mohnblüte GmbH</x:v>
      </x:c>
      <x:c r="E283" s="14" t="str">
        <x:v>Haushaltshilfe Rechnung MH-2025-04</x:v>
      </x:c>
      <x:c r="F283" s="12" t="n">
        <x:v>-126.5</x:v>
      </x:c>
      <x:c r="G283" s="13" t="n">
        <x:v>45761</x:v>
      </x:c>
      <x:c r="H283" s="2" t="str">
        <x:v>02_Konten/GIRO_2025-04.pdf</x:v>
      </x:c>
      <x:c r="I283" s="2" t="str">
        <x:v>MH-2025-04</x:v>
      </x:c>
      <x:c r="J283" s="2" t="str">
        <x:v>B0264</x:v>
      </x:c>
    </x:row>
    <x:row r="284" ht="35" customHeight="1">
      <x:c r="A284" s="2" t="str">
        <x:v>B0265</x:v>
      </x:c>
      <x:c r="B284" s="2" t="str">
        <x:v>GIRO</x:v>
      </x:c>
      <x:c r="C284" s="13" t="n">
        <x:v>45761</x:v>
      </x:c>
      <x:c r="D284" s="14" t="str">
        <x:v>Frischemarkt Karow</x:v>
      </x:c>
      <x:c r="E284" s="14" t="str">
        <x:v>Kartenzahlung Lebensmittel, Belegserie FK 2025-04</x:v>
      </x:c>
      <x:c r="F284" s="12" t="n">
        <x:v>-239.66</x:v>
      </x:c>
      <x:c r="G284" s="13" t="n">
        <x:v>45761</x:v>
      </x:c>
      <x:c r="H284" s="2" t="str">
        <x:v>02_Konten/GIRO_2025-04.pdf</x:v>
      </x:c>
      <x:c r="I284" s="2" t="str"/>
      <x:c r="J284" s="2" t="str">
        <x:v>B0265</x:v>
      </x:c>
    </x:row>
    <x:row r="285" ht="35" customHeight="1">
      <x:c r="A285" s="2" t="str">
        <x:v>B0266</x:v>
      </x:c>
      <x:c r="B285" s="2" t="str">
        <x:v>GIRO</x:v>
      </x:c>
      <x:c r="C285" s="13" t="n">
        <x:v>45762</x:v>
      </x:c>
      <x:c r="D285" s="14" t="str">
        <x:v>Apotheke Silberblatt</x:v>
      </x:c>
      <x:c r="E285" s="14" t="str">
        <x:v>Zuzahlung und Pflegebedarf 2025-04</x:v>
      </x:c>
      <x:c r="F285" s="12" t="n">
        <x:v>-26.84</x:v>
      </x:c>
      <x:c r="G285" s="13" t="n">
        <x:v>45762</x:v>
      </x:c>
      <x:c r="H285" s="2" t="str">
        <x:v>02_Konten/GIRO_2025-04.pdf</x:v>
      </x:c>
      <x:c r="I285" s="2" t="str">
        <x:v>AP-2025-04</x:v>
      </x:c>
      <x:c r="J285" s="2" t="str">
        <x:v>B0266</x:v>
      </x:c>
    </x:row>
    <x:row r="286" ht="35" customHeight="1">
      <x:c r="A286" s="2" t="str">
        <x:v>B0559</x:v>
      </x:c>
      <x:c r="B286" s="2" t="str">
        <x:v>GIRO</x:v>
      </x:c>
      <x:c r="C286" s="13" t="n">
        <x:v>45762</x:v>
      </x:c>
      <x:c r="D286" s="14" t="str">
        <x:v>Juna Özdemir-Pfister</x:v>
      </x:c>
      <x:c r="E286" s="14" t="str">
        <x:v>Zahnbehandlung vorgestreckt</x:v>
      </x:c>
      <x:c r="F286" s="12" t="n">
        <x:v>-450</x:v>
      </x:c>
      <x:c r="G286" s="13" t="n">
        <x:v>45762</x:v>
      </x:c>
      <x:c r="H286" s="2" t="str">
        <x:v>02_Konten/GIRO_2025-04.pdf</x:v>
      </x:c>
      <x:c r="I286" s="2" t="str"/>
      <x:c r="J286" s="2" t="str">
        <x:v>B0559</x:v>
      </x:c>
    </x:row>
    <x:row r="287" ht="35" customHeight="1">
      <x:c r="A287" s="2" t="str">
        <x:v>B0267</x:v>
      </x:c>
      <x:c r="B287" s="2" t="str">
        <x:v>GIRO</x:v>
      </x:c>
      <x:c r="C287" s="13" t="n">
        <x:v>45765</x:v>
      </x:c>
      <x:c r="D287" s="14" t="str">
        <x:v>Geldautomat Karow</x:v>
      </x:c>
      <x:c r="E287" s="14" t="str">
        <x:v>Bargeldauszahlung Karte 0441, Terminal KA-03</x:v>
      </x:c>
      <x:c r="F287" s="12" t="n">
        <x:v>-200</x:v>
      </x:c>
      <x:c r="G287" s="13" t="n">
        <x:v>45765</x:v>
      </x:c>
      <x:c r="H287" s="2" t="str">
        <x:v>02_Konten/GIRO_2025-04.pdf</x:v>
      </x:c>
      <x:c r="I287" s="2" t="str"/>
      <x:c r="J287" s="2" t="str">
        <x:v>B0267</x:v>
      </x:c>
    </x:row>
    <x:row r="288" ht="35" customHeight="1">
      <x:c r="A288" s="2" t="str">
        <x:v>B0268</x:v>
      </x:c>
      <x:c r="B288" s="2" t="str">
        <x:v>GIRO</x:v>
      </x:c>
      <x:c r="C288" s="13" t="n">
        <x:v>45768</x:v>
      </x:c>
      <x:c r="D288" s="14" t="str">
        <x:v>Tierladen Pfötchen</x:v>
      </x:c>
      <x:c r="E288" s="14" t="str">
        <x:v>Futter und Streu für Kater Mürbchen</x:v>
      </x:c>
      <x:c r="F288" s="12" t="n">
        <x:v>-48.5</x:v>
      </x:c>
      <x:c r="G288" s="13" t="n">
        <x:v>45768</x:v>
      </x:c>
      <x:c r="H288" s="2" t="str">
        <x:v>02_Konten/GIRO_2025-04.pdf</x:v>
      </x:c>
      <x:c r="I288" s="2" t="str"/>
      <x:c r="J288" s="2" t="str">
        <x:v>B0268</x:v>
      </x:c>
    </x:row>
    <x:row r="289" ht="35" customHeight="1">
      <x:c r="A289" s="2" t="str">
        <x:v>B0269</x:v>
      </x:c>
      <x:c r="B289" s="2" t="str">
        <x:v>GIRO</x:v>
      </x:c>
      <x:c r="C289" s="13" t="n">
        <x:v>45769</x:v>
      </x:c>
      <x:c r="D289" s="14" t="str">
        <x:v>SofaKino Digital GmbH</x:v>
      </x:c>
      <x:c r="E289" s="14" t="str">
        <x:v>Monatsabo SK-77380 / 2025-04</x:v>
      </x:c>
      <x:c r="F289" s="12" t="n">
        <x:v>-12.99</x:v>
      </x:c>
      <x:c r="G289" s="13" t="n">
        <x:v>45769</x:v>
      </x:c>
      <x:c r="H289" s="2" t="str">
        <x:v>02_Konten/GIRO_2025-04.pdf</x:v>
      </x:c>
      <x:c r="I289" s="2" t="str"/>
      <x:c r="J289" s="2" t="str">
        <x:v>B0269</x:v>
      </x:c>
    </x:row>
    <x:row r="290" ht="35" customHeight="1">
      <x:c r="A290" s="2" t="str">
        <x:v>B0273</x:v>
      </x:c>
      <x:c r="B290" s="2" t="str">
        <x:v>GIRO</x:v>
      </x:c>
      <x:c r="C290" s="13" t="n">
        <x:v>45771</x:v>
      </x:c>
      <x:c r="D290" s="14" t="str">
        <x:v>Egon Knusper</x:v>
      </x:c>
      <x:c r="E290" s="14" t="str">
        <x:v>Pauschale Einkauf und Technik 2025-04</x:v>
      </x:c>
      <x:c r="F290" s="12" t="n">
        <x:v>-145</x:v>
      </x:c>
      <x:c r="G290" s="13" t="n">
        <x:v>45771</x:v>
      </x:c>
      <x:c r="H290" s="2" t="str">
        <x:v>02_Konten/GIRO_2025-04.pdf</x:v>
      </x:c>
      <x:c r="I290" s="2" t="str">
        <x:v>EK-2025-04</x:v>
      </x:c>
      <x:c r="J290" s="2" t="str">
        <x:v>B0273</x:v>
      </x:c>
    </x:row>
    <x:row r="291" ht="35" customHeight="1">
      <x:c r="A291" s="2" t="str">
        <x:v>B0259</x:v>
      </x:c>
      <x:c r="B291" s="2" t="str">
        <x:v>GIRO</x:v>
      </x:c>
      <x:c r="C291" s="13" t="n">
        <x:v>45775</x:v>
      </x:c>
      <x:c r="D291" s="14" t="str">
        <x:v>Rentenstelle Nord</x:v>
      </x:c>
      <x:c r="E291" s="14" t="str">
        <x:v>Altersrente 2025-04</x:v>
      </x:c>
      <x:c r="F291" s="12" t="n">
        <x:v>1960</x:v>
      </x:c>
      <x:c r="G291" s="13" t="n">
        <x:v>45775</x:v>
      </x:c>
      <x:c r="H291" s="2" t="str">
        <x:v>02_Konten/GIRO_2025-04.pdf</x:v>
      </x:c>
      <x:c r="I291" s="2" t="str"/>
      <x:c r="J291" s="2" t="str">
        <x:v>B0259</x:v>
      </x:c>
    </x:row>
    <x:row r="292" ht="35" customHeight="1">
      <x:c r="A292" s="2" t="str">
        <x:v>B0260</x:v>
      </x:c>
      <x:c r="B292" s="2" t="str">
        <x:v>GIRO</x:v>
      </x:c>
      <x:c r="C292" s="13" t="n">
        <x:v>45775</x:v>
      </x:c>
      <x:c r="D292" s="14" t="str">
        <x:v>Rentenstelle Nord</x:v>
      </x:c>
      <x:c r="E292" s="14" t="str">
        <x:v>Hinterbliebenenrente 2025-04</x:v>
      </x:c>
      <x:c r="F292" s="12" t="n">
        <x:v>485</x:v>
      </x:c>
      <x:c r="G292" s="13" t="n">
        <x:v>45775</x:v>
      </x:c>
      <x:c r="H292" s="2" t="str">
        <x:v>02_Konten/GIRO_2025-04.pdf</x:v>
      </x:c>
      <x:c r="I292" s="2" t="str"/>
      <x:c r="J292" s="2" t="str">
        <x:v>B0260</x:v>
      </x:c>
    </x:row>
    <x:row r="293" ht="35" customHeight="1">
      <x:c r="A293" s="2" t="str">
        <x:v>B0270</x:v>
      </x:c>
      <x:c r="B293" s="2" t="str">
        <x:v>GIRO</x:v>
      </x:c>
      <x:c r="C293" s="13" t="n">
        <x:v>45775</x:v>
      </x:c>
      <x:c r="D293" s="14" t="str">
        <x:v>Fensterbank Spree eG</x:v>
      </x:c>
      <x:c r="E293" s="14" t="str">
        <x:v>Kontoführung 2025-04</x:v>
      </x:c>
      <x:c r="F293" s="12" t="n">
        <x:v>-6.9</x:v>
      </x:c>
      <x:c r="G293" s="13" t="n">
        <x:v>45775</x:v>
      </x:c>
      <x:c r="H293" s="2" t="str">
        <x:v>02_Konten/GIRO_2025-04.pdf</x:v>
      </x:c>
      <x:c r="I293" s="2" t="str"/>
      <x:c r="J293" s="2" t="str">
        <x:v>B0270</x:v>
      </x:c>
    </x:row>
    <x:row r="294" ht="35" customHeight="1">
      <x:c r="A294" s="2" t="str">
        <x:v>B0560</x:v>
      </x:c>
      <x:c r="B294" s="2" t="str">
        <x:v>GIRO</x:v>
      </x:c>
      <x:c r="C294" s="13" t="n">
        <x:v>45776</x:v>
      </x:c>
      <x:c r="D294" s="14" t="str">
        <x:v>Juna Özdemir-Pfister</x:v>
      </x:c>
      <x:c r="E294" s="14" t="str">
        <x:v>Zahnbehandlung erstattet</x:v>
      </x:c>
      <x:c r="F294" s="12" t="n">
        <x:v>450</x:v>
      </x:c>
      <x:c r="G294" s="13" t="n">
        <x:v>45776</x:v>
      </x:c>
      <x:c r="H294" s="2" t="str">
        <x:v>02_Konten/GIRO_2025-04.pdf</x:v>
      </x:c>
      <x:c r="I294" s="2" t="str"/>
      <x:c r="J294" s="2" t="str">
        <x:v>B0560</x:v>
      </x:c>
    </x:row>
    <x:row r="295" ht="35" customHeight="1">
      <x:c r="A295" s="2" t="str">
        <x:v>B0276</x:v>
      </x:c>
      <x:c r="B295" s="2" t="str">
        <x:v>GIRO</x:v>
      </x:c>
      <x:c r="C295" s="13" t="n">
        <x:v>45782</x:v>
      </x:c>
      <x:c r="D295" s="14" t="str">
        <x:v>Hausverwaltung Lindenblatt KG</x:v>
      </x:c>
      <x:c r="E295" s="14" t="str">
        <x:v>Warmmiete Fliederbogen 17 / 2025-05</x:v>
      </x:c>
      <x:c r="F295" s="12" t="n">
        <x:v>-820</x:v>
      </x:c>
      <x:c r="G295" s="13" t="n">
        <x:v>45782</x:v>
      </x:c>
      <x:c r="H295" s="2" t="str">
        <x:v>02_Konten/GIRO_2025-05.pdf</x:v>
      </x:c>
      <x:c r="I295" s="2" t="str"/>
      <x:c r="J295" s="2" t="str">
        <x:v>B0276</x:v>
      </x:c>
    </x:row>
    <x:row r="296" ht="35" customHeight="1">
      <x:c r="A296" s="2" t="str">
        <x:v>B0277</x:v>
      </x:c>
      <x:c r="B296" s="2" t="str">
        <x:v>GIRO</x:v>
      </x:c>
      <x:c r="C296" s="13" t="n">
        <x:v>45783</x:v>
      </x:c>
      <x:c r="D296" s="14" t="str">
        <x:v>Nordlicht Energie Berlin GmbH</x:v>
      </x:c>
      <x:c r="E296" s="14" t="str">
        <x:v>Abschlag Kundennummer NE-48017 / 2025-05</x:v>
      </x:c>
      <x:c r="F296" s="12" t="n">
        <x:v>-79</x:v>
      </x:c>
      <x:c r="G296" s="13" t="n">
        <x:v>45783</x:v>
      </x:c>
      <x:c r="H296" s="2" t="str">
        <x:v>02_Konten/GIRO_2025-05.pdf</x:v>
      </x:c>
      <x:c r="I296" s="2" t="str"/>
      <x:c r="J296" s="2" t="str">
        <x:v>B0277</x:v>
      </x:c>
    </x:row>
    <x:row r="297" ht="35" customHeight="1">
      <x:c r="A297" s="2" t="str">
        <x:v>B0278</x:v>
      </x:c>
      <x:c r="B297" s="2" t="str">
        <x:v>GIRO</x:v>
      </x:c>
      <x:c r="C297" s="13" t="n">
        <x:v>45785</x:v>
      </x:c>
      <x:c r="D297" s="14" t="str">
        <x:v>Sprechfink Telekom GmbH</x:v>
      </x:c>
      <x:c r="E297" s="14" t="str">
        <x:v>Festnetz und Internet SP-118044 / 2025-05</x:v>
      </x:c>
      <x:c r="F297" s="12" t="n">
        <x:v>-44.99</x:v>
      </x:c>
      <x:c r="G297" s="13" t="n">
        <x:v>45785</x:v>
      </x:c>
      <x:c r="H297" s="2" t="str">
        <x:v>02_Konten/GIRO_2025-05.pdf</x:v>
      </x:c>
      <x:c r="I297" s="2" t="str"/>
      <x:c r="J297" s="2" t="str">
        <x:v>B0278</x:v>
      </x:c>
    </x:row>
    <x:row r="298" ht="35" customHeight="1">
      <x:c r="A298" s="2" t="str">
        <x:v>B0561</x:v>
      </x:c>
      <x:c r="B298" s="2" t="str">
        <x:v>GIRO</x:v>
      </x:c>
      <x:c r="C298" s="13" t="n">
        <x:v>45785</x:v>
      </x:c>
      <x:c r="D298" s="14" t="str">
        <x:v>Technikladen Zinnober GmbH</x:v>
      </x:c>
      <x:c r="E298" s="14" t="str">
        <x:v>Tablet ZT-250508</x:v>
      </x:c>
      <x:c r="F298" s="12" t="n">
        <x:v>-799</x:v>
      </x:c>
      <x:c r="G298" s="13" t="n">
        <x:v>45785</x:v>
      </x:c>
      <x:c r="H298" s="2" t="str">
        <x:v>02_Konten/GIRO_2025-05.pdf</x:v>
      </x:c>
      <x:c r="I298" s="2" t="str">
        <x:v>ZT-250508</x:v>
      </x:c>
      <x:c r="J298" s="2" t="str">
        <x:v>B0561</x:v>
      </x:c>
    </x:row>
    <x:row r="299" ht="35" customHeight="1">
      <x:c r="A299" s="2" t="str">
        <x:v>B0286</x:v>
      </x:c>
      <x:c r="B299" s="2" t="str">
        <x:v>GIRO</x:v>
      </x:c>
      <x:c r="C299" s="13" t="n">
        <x:v>45786</x:v>
      </x:c>
      <x:c r="D299" s="14" t="str">
        <x:v>Glücksfenster Service GmbH</x:v>
      </x:c>
      <x:c r="E299" s="14" t="str">
        <x:v>Teilnahmeservice GF-90335 / 2025-05</x:v>
      </x:c>
      <x:c r="F299" s="12" t="n">
        <x:v>-29.9</x:v>
      </x:c>
      <x:c r="G299" s="13" t="n">
        <x:v>45786</x:v>
      </x:c>
      <x:c r="H299" s="2" t="str">
        <x:v>02_Konten/GIRO_2025-05.pdf</x:v>
      </x:c>
      <x:c r="I299" s="2" t="str"/>
      <x:c r="J299" s="2" t="str">
        <x:v>B0286</x:v>
      </x:c>
    </x:row>
    <x:row r="300" ht="35" customHeight="1">
      <x:c r="A300" s="2" t="str">
        <x:v>B0279</x:v>
      </x:c>
      <x:c r="B300" s="2" t="str">
        <x:v>GIRO</x:v>
      </x:c>
      <x:c r="C300" s="13" t="n">
        <x:v>45789</x:v>
      </x:c>
      <x:c r="D300" s="14" t="str">
        <x:v>Alltagshilfe Mohnblüte GmbH</x:v>
      </x:c>
      <x:c r="E300" s="14" t="str">
        <x:v>Haushaltshilfe Rechnung MH-2025-05</x:v>
      </x:c>
      <x:c r="F300" s="12" t="n">
        <x:v>-126.5</x:v>
      </x:c>
      <x:c r="G300" s="13" t="n">
        <x:v>45789</x:v>
      </x:c>
      <x:c r="H300" s="2" t="str">
        <x:v>02_Konten/GIRO_2025-05.pdf</x:v>
      </x:c>
      <x:c r="I300" s="2" t="str">
        <x:v>MH-2025-05</x:v>
      </x:c>
      <x:c r="J300" s="2" t="str">
        <x:v>B0279</x:v>
      </x:c>
    </x:row>
    <x:row r="301" ht="35" customHeight="1">
      <x:c r="A301" s="2" t="str">
        <x:v>B0287</x:v>
      </x:c>
      <x:c r="B301" s="2" t="str">
        <x:v>GIRO</x:v>
      </x:c>
      <x:c r="C301" s="13" t="n">
        <x:v>45789</x:v>
      </x:c>
      <x:c r="D301" s="14" t="str">
        <x:v>LebensKompass Direkt GmbH</x:v>
      </x:c>
      <x:c r="E301" s="14" t="str">
        <x:v>Digitalpaket LK-55771 / 2025-05</x:v>
      </x:c>
      <x:c r="F301" s="12" t="n">
        <x:v>-69.9</x:v>
      </x:c>
      <x:c r="G301" s="13" t="n">
        <x:v>45789</x:v>
      </x:c>
      <x:c r="H301" s="2" t="str">
        <x:v>02_Konten/GIRO_2025-05.pdf</x:v>
      </x:c>
      <x:c r="I301" s="2" t="str"/>
      <x:c r="J301" s="2" t="str">
        <x:v>B0287</x:v>
      </x:c>
    </x:row>
    <x:row r="302" ht="35" customHeight="1">
      <x:c r="A302" s="2" t="str">
        <x:v>B0280</x:v>
      </x:c>
      <x:c r="B302" s="2" t="str">
        <x:v>GIRO</x:v>
      </x:c>
      <x:c r="C302" s="13" t="n">
        <x:v>45791</x:v>
      </x:c>
      <x:c r="D302" s="14" t="str">
        <x:v>Frischemarkt Karow</x:v>
      </x:c>
      <x:c r="E302" s="14" t="str">
        <x:v>Kartenzahlung Lebensmittel, Belegserie FK 2025-05</x:v>
      </x:c>
      <x:c r="F302" s="12" t="n">
        <x:v>-241.03</x:v>
      </x:c>
      <x:c r="G302" s="13" t="n">
        <x:v>45791</x:v>
      </x:c>
      <x:c r="H302" s="2" t="str">
        <x:v>02_Konten/GIRO_2025-05.pdf</x:v>
      </x:c>
      <x:c r="I302" s="2" t="str"/>
      <x:c r="J302" s="2" t="str">
        <x:v>B0280</x:v>
      </x:c>
    </x:row>
    <x:row r="303" ht="35" customHeight="1">
      <x:c r="A303" s="2" t="str">
        <x:v>B0281</x:v>
      </x:c>
      <x:c r="B303" s="2" t="str">
        <x:v>GIRO</x:v>
      </x:c>
      <x:c r="C303" s="13" t="n">
        <x:v>45792</x:v>
      </x:c>
      <x:c r="D303" s="14" t="str">
        <x:v>Apotheke Silberblatt</x:v>
      </x:c>
      <x:c r="E303" s="14" t="str">
        <x:v>Zuzahlung und Pflegebedarf 2025-05</x:v>
      </x:c>
      <x:c r="F303" s="12" t="n">
        <x:v>-27.97</x:v>
      </x:c>
      <x:c r="G303" s="13" t="n">
        <x:v>45792</x:v>
      </x:c>
      <x:c r="H303" s="2" t="str">
        <x:v>02_Konten/GIRO_2025-05.pdf</x:v>
      </x:c>
      <x:c r="I303" s="2" t="str"/>
      <x:c r="J303" s="2" t="str">
        <x:v>B0281</x:v>
      </x:c>
    </x:row>
    <x:row r="304" ht="35" customHeight="1">
      <x:c r="A304" s="2" t="str">
        <x:v>B0282</x:v>
      </x:c>
      <x:c r="B304" s="2" t="str">
        <x:v>GIRO</x:v>
      </x:c>
      <x:c r="C304" s="13" t="n">
        <x:v>45796</x:v>
      </x:c>
      <x:c r="D304" s="14" t="str">
        <x:v>Geldautomat Karow</x:v>
      </x:c>
      <x:c r="E304" s="14" t="str">
        <x:v>Bargeldauszahlung Karte 0441, Terminal KA-03</x:v>
      </x:c>
      <x:c r="F304" s="12" t="n">
        <x:v>-200</x:v>
      </x:c>
      <x:c r="G304" s="13" t="n">
        <x:v>45796</x:v>
      </x:c>
      <x:c r="H304" s="2" t="str">
        <x:v>02_Konten/GIRO_2025-05.pdf</x:v>
      </x:c>
      <x:c r="I304" s="2" t="str"/>
      <x:c r="J304" s="2" t="str">
        <x:v>B0282</x:v>
      </x:c>
    </x:row>
    <x:row r="305" ht="35" customHeight="1">
      <x:c r="A305" s="2" t="str">
        <x:v>B0283</x:v>
      </x:c>
      <x:c r="B305" s="2" t="str">
        <x:v>GIRO</x:v>
      </x:c>
      <x:c r="C305" s="13" t="n">
        <x:v>45797</x:v>
      </x:c>
      <x:c r="D305" s="14" t="str">
        <x:v>Tierladen Pfötchen</x:v>
      </x:c>
      <x:c r="E305" s="14" t="str">
        <x:v>Futter und Streu für Kater Mürbchen</x:v>
      </x:c>
      <x:c r="F305" s="12" t="n">
        <x:v>-48.5</x:v>
      </x:c>
      <x:c r="G305" s="13" t="n">
        <x:v>45797</x:v>
      </x:c>
      <x:c r="H305" s="2" t="str">
        <x:v>02_Konten/GIRO_2025-05.pdf</x:v>
      </x:c>
      <x:c r="I305" s="2" t="str"/>
      <x:c r="J305" s="2" t="str">
        <x:v>B0283</x:v>
      </x:c>
    </x:row>
    <x:row r="306" ht="35" customHeight="1">
      <x:c r="A306" s="2" t="str">
        <x:v>B0284</x:v>
      </x:c>
      <x:c r="B306" s="2" t="str">
        <x:v>GIRO</x:v>
      </x:c>
      <x:c r="C306" s="13" t="n">
        <x:v>45799</x:v>
      </x:c>
      <x:c r="D306" s="14" t="str">
        <x:v>SofaKino Digital GmbH</x:v>
      </x:c>
      <x:c r="E306" s="14" t="str">
        <x:v>Monatsabo SK-77380 / 2025-05</x:v>
      </x:c>
      <x:c r="F306" s="12" t="n">
        <x:v>-12.99</x:v>
      </x:c>
      <x:c r="G306" s="13" t="n">
        <x:v>45799</x:v>
      </x:c>
      <x:c r="H306" s="2" t="str">
        <x:v>02_Konten/GIRO_2025-05.pdf</x:v>
      </x:c>
      <x:c r="I306" s="2" t="str"/>
      <x:c r="J306" s="2" t="str">
        <x:v>B0284</x:v>
      </x:c>
    </x:row>
    <x:row r="307" ht="35" customHeight="1">
      <x:c r="A307" s="2" t="str">
        <x:v>B0285</x:v>
      </x:c>
      <x:c r="B307" s="2" t="str">
        <x:v>GIRO</x:v>
      </x:c>
      <x:c r="C307" s="13" t="n">
        <x:v>45803</x:v>
      </x:c>
      <x:c r="D307" s="14" t="str">
        <x:v>Fensterbank Spree eG</x:v>
      </x:c>
      <x:c r="E307" s="14" t="str">
        <x:v>Kontoführung 2025-05</x:v>
      </x:c>
      <x:c r="F307" s="12" t="n">
        <x:v>-6.9</x:v>
      </x:c>
      <x:c r="G307" s="13" t="n">
        <x:v>45803</x:v>
      </x:c>
      <x:c r="H307" s="2" t="str">
        <x:v>02_Konten/GIRO_2025-05.pdf</x:v>
      </x:c>
      <x:c r="I307" s="2" t="str"/>
      <x:c r="J307" s="2" t="str">
        <x:v>B0285</x:v>
      </x:c>
    </x:row>
    <x:row r="308" ht="35" customHeight="1">
      <x:c r="A308" s="2" t="str">
        <x:v>B0288</x:v>
      </x:c>
      <x:c r="B308" s="2" t="str">
        <x:v>GIRO</x:v>
      </x:c>
      <x:c r="C308" s="13" t="n">
        <x:v>45803</x:v>
      </x:c>
      <x:c r="D308" s="14" t="str">
        <x:v>Egon Knusper</x:v>
      </x:c>
      <x:c r="E308" s="14" t="str">
        <x:v>Pauschale Einkauf und Technik 2025-05</x:v>
      </x:c>
      <x:c r="F308" s="12" t="n">
        <x:v>-145</x:v>
      </x:c>
      <x:c r="G308" s="13" t="n">
        <x:v>45803</x:v>
      </x:c>
      <x:c r="H308" s="2" t="str">
        <x:v>02_Konten/GIRO_2025-05.pdf</x:v>
      </x:c>
      <x:c r="I308" s="2" t="str">
        <x:v>EK-2025-05</x:v>
      </x:c>
      <x:c r="J308" s="2" t="str">
        <x:v>B0288</x:v>
      </x:c>
    </x:row>
    <x:row r="309" ht="35" customHeight="1">
      <x:c r="A309" s="2" t="str">
        <x:v>B0274</x:v>
      </x:c>
      <x:c r="B309" s="2" t="str">
        <x:v>GIRO</x:v>
      </x:c>
      <x:c r="C309" s="13" t="n">
        <x:v>45805</x:v>
      </x:c>
      <x:c r="D309" s="14" t="str">
        <x:v>Rentenstelle Nord</x:v>
      </x:c>
      <x:c r="E309" s="14" t="str">
        <x:v>Altersrente 2025-05</x:v>
      </x:c>
      <x:c r="F309" s="12" t="n">
        <x:v>1960</x:v>
      </x:c>
      <x:c r="G309" s="13" t="n">
        <x:v>45805</x:v>
      </x:c>
      <x:c r="H309" s="2" t="str">
        <x:v>02_Konten/GIRO_2025-05.pdf</x:v>
      </x:c>
      <x:c r="I309" s="2" t="str"/>
      <x:c r="J309" s="2" t="str">
        <x:v>B0274</x:v>
      </x:c>
    </x:row>
    <x:row r="310" ht="35" customHeight="1">
      <x:c r="A310" s="2" t="str">
        <x:v>B0275</x:v>
      </x:c>
      <x:c r="B310" s="2" t="str">
        <x:v>GIRO</x:v>
      </x:c>
      <x:c r="C310" s="13" t="n">
        <x:v>45805</x:v>
      </x:c>
      <x:c r="D310" s="14" t="str">
        <x:v>Rentenstelle Nord</x:v>
      </x:c>
      <x:c r="E310" s="14" t="str">
        <x:v>Hinterbliebenenrente 2025-05</x:v>
      </x:c>
      <x:c r="F310" s="12" t="n">
        <x:v>485</x:v>
      </x:c>
      <x:c r="G310" s="13" t="n">
        <x:v>45805</x:v>
      </x:c>
      <x:c r="H310" s="2" t="str">
        <x:v>02_Konten/GIRO_2025-05.pdf</x:v>
      </x:c>
      <x:c r="I310" s="2" t="str"/>
      <x:c r="J310" s="2" t="str">
        <x:v>B0275</x:v>
      </x:c>
    </x:row>
    <x:row r="311" ht="35" customHeight="1">
      <x:c r="A311" s="2" t="str">
        <x:v>B0291</x:v>
      </x:c>
      <x:c r="B311" s="2" t="str">
        <x:v>GIRO</x:v>
      </x:c>
      <x:c r="C311" s="13" t="n">
        <x:v>45811</x:v>
      </x:c>
      <x:c r="D311" s="14" t="str">
        <x:v>Hausverwaltung Lindenblatt KG</x:v>
      </x:c>
      <x:c r="E311" s="14" t="str">
        <x:v>Warmmiete Fliederbogen 17 / 2025-06</x:v>
      </x:c>
      <x:c r="F311" s="12" t="n">
        <x:v>-820</x:v>
      </x:c>
      <x:c r="G311" s="13" t="n">
        <x:v>45811</x:v>
      </x:c>
      <x:c r="H311" s="2" t="str">
        <x:v>02_Konten/GIRO_2025-06.pdf</x:v>
      </x:c>
      <x:c r="I311" s="2" t="str"/>
      <x:c r="J311" s="2" t="str">
        <x:v>B0291</x:v>
      </x:c>
    </x:row>
    <x:row r="312" ht="35" customHeight="1">
      <x:c r="A312" s="2" t="str">
        <x:v>B0292</x:v>
      </x:c>
      <x:c r="B312" s="2" t="str">
        <x:v>GIRO</x:v>
      </x:c>
      <x:c r="C312" s="13" t="n">
        <x:v>45814</x:v>
      </x:c>
      <x:c r="D312" s="14" t="str">
        <x:v>Nordlicht Energie Berlin GmbH</x:v>
      </x:c>
      <x:c r="E312" s="14" t="str">
        <x:v>Abschlag Kundennummer NE-48017 / 2025-06</x:v>
      </x:c>
      <x:c r="F312" s="12" t="n">
        <x:v>-79</x:v>
      </x:c>
      <x:c r="G312" s="13" t="n">
        <x:v>45814</x:v>
      </x:c>
      <x:c r="H312" s="2" t="str">
        <x:v>02_Konten/GIRO_2025-06.pdf</x:v>
      </x:c>
      <x:c r="I312" s="2" t="str"/>
      <x:c r="J312" s="2" t="str">
        <x:v>B0292</x:v>
      </x:c>
    </x:row>
    <x:row r="313" ht="35" customHeight="1">
      <x:c r="A313" s="2" t="str">
        <x:v>B0293</x:v>
      </x:c>
      <x:c r="B313" s="2" t="str">
        <x:v>GIRO</x:v>
      </x:c>
      <x:c r="C313" s="13" t="n">
        <x:v>45817</x:v>
      </x:c>
      <x:c r="D313" s="14" t="str">
        <x:v>Sprechfink Telekom GmbH</x:v>
      </x:c>
      <x:c r="E313" s="14" t="str">
        <x:v>Festnetz und Internet SP-118044 / 2025-06</x:v>
      </x:c>
      <x:c r="F313" s="12" t="n">
        <x:v>-44.99</x:v>
      </x:c>
      <x:c r="G313" s="13" t="n">
        <x:v>45817</x:v>
      </x:c>
      <x:c r="H313" s="2" t="str">
        <x:v>02_Konten/GIRO_2025-06.pdf</x:v>
      </x:c>
      <x:c r="I313" s="2" t="str"/>
      <x:c r="J313" s="2" t="str">
        <x:v>B0293</x:v>
      </x:c>
    </x:row>
    <x:row r="314" ht="35" customHeight="1">
      <x:c r="A314" s="2" t="str">
        <x:v>B0301</x:v>
      </x:c>
      <x:c r="B314" s="2" t="str">
        <x:v>GIRO</x:v>
      </x:c>
      <x:c r="C314" s="13" t="n">
        <x:v>45817</x:v>
      </x:c>
      <x:c r="D314" s="14" t="str">
        <x:v>Glücksfenster Service GmbH</x:v>
      </x:c>
      <x:c r="E314" s="14" t="str">
        <x:v>Teilnahmeservice GF-90335 / 2025-06</x:v>
      </x:c>
      <x:c r="F314" s="12" t="n">
        <x:v>-29.9</x:v>
      </x:c>
      <x:c r="G314" s="13" t="n">
        <x:v>45817</x:v>
      </x:c>
      <x:c r="H314" s="2" t="str">
        <x:v>02_Konten/GIRO_2025-06.pdf</x:v>
      </x:c>
      <x:c r="I314" s="2" t="str"/>
      <x:c r="J314" s="2" t="str">
        <x:v>B0301</x:v>
      </x:c>
    </x:row>
    <x:row r="315" ht="35" customHeight="1">
      <x:c r="A315" s="2" t="str">
        <x:v>B0302</x:v>
      </x:c>
      <x:c r="B315" s="2" t="str">
        <x:v>GIRO</x:v>
      </x:c>
      <x:c r="C315" s="13" t="n">
        <x:v>45819</x:v>
      </x:c>
      <x:c r="D315" s="14" t="str">
        <x:v>LebensKompass Direkt GmbH</x:v>
      </x:c>
      <x:c r="E315" s="14" t="str">
        <x:v>Digitalpaket LK-55771 / 2025-06</x:v>
      </x:c>
      <x:c r="F315" s="12" t="n">
        <x:v>-69.9</x:v>
      </x:c>
      <x:c r="G315" s="13" t="n">
        <x:v>45819</x:v>
      </x:c>
      <x:c r="H315" s="2" t="str">
        <x:v>02_Konten/GIRO_2025-06.pdf</x:v>
      </x:c>
      <x:c r="I315" s="2" t="str"/>
      <x:c r="J315" s="2" t="str">
        <x:v>B0302</x:v>
      </x:c>
    </x:row>
    <x:row r="316" ht="35" customHeight="1">
      <x:c r="A316" s="2" t="str">
        <x:v>B0294</x:v>
      </x:c>
      <x:c r="B316" s="2" t="str">
        <x:v>GIRO</x:v>
      </x:c>
      <x:c r="C316" s="13" t="n">
        <x:v>45820</x:v>
      </x:c>
      <x:c r="D316" s="14" t="str">
        <x:v>Alltagshilfe Mohnblüte GmbH</x:v>
      </x:c>
      <x:c r="E316" s="14" t="str">
        <x:v>Haushaltshilfe Rechnung MH-2025-06</x:v>
      </x:c>
      <x:c r="F316" s="12" t="n">
        <x:v>-126.5</x:v>
      </x:c>
      <x:c r="G316" s="13" t="n">
        <x:v>45820</x:v>
      </x:c>
      <x:c r="H316" s="2" t="str">
        <x:v>02_Konten/GIRO_2025-06.pdf</x:v>
      </x:c>
      <x:c r="I316" s="2" t="str">
        <x:v>MH-2025-06</x:v>
      </x:c>
      <x:c r="J316" s="2" t="str">
        <x:v>B0294</x:v>
      </x:c>
    </x:row>
    <x:row r="317" ht="35" customHeight="1">
      <x:c r="A317" s="2" t="str">
        <x:v>B0295</x:v>
      </x:c>
      <x:c r="B317" s="2" t="str">
        <x:v>GIRO</x:v>
      </x:c>
      <x:c r="C317" s="13" t="n">
        <x:v>45824</x:v>
      </x:c>
      <x:c r="D317" s="14" t="str">
        <x:v>Frischemarkt Karow</x:v>
      </x:c>
      <x:c r="E317" s="14" t="str">
        <x:v>Kartenzahlung Lebensmittel, Belegserie FK 2025-06</x:v>
      </x:c>
      <x:c r="F317" s="12" t="n">
        <x:v>-242.4</x:v>
      </x:c>
      <x:c r="G317" s="13" t="n">
        <x:v>45824</x:v>
      </x:c>
      <x:c r="H317" s="2" t="str">
        <x:v>02_Konten/GIRO_2025-06.pdf</x:v>
      </x:c>
      <x:c r="I317" s="2" t="str"/>
      <x:c r="J317" s="2" t="str">
        <x:v>B0295</x:v>
      </x:c>
    </x:row>
    <x:row r="318" ht="35" customHeight="1">
      <x:c r="A318" s="2" t="str">
        <x:v>B0296</x:v>
      </x:c>
      <x:c r="B318" s="2" t="str">
        <x:v>GIRO</x:v>
      </x:c>
      <x:c r="C318" s="13" t="n">
        <x:v>45824</x:v>
      </x:c>
      <x:c r="D318" s="14" t="str">
        <x:v>Apotheke Silberblatt</x:v>
      </x:c>
      <x:c r="E318" s="14" t="str">
        <x:v>Zuzahlung und Pflegebedarf 2025-06</x:v>
      </x:c>
      <x:c r="F318" s="12" t="n">
        <x:v>-29.1</x:v>
      </x:c>
      <x:c r="G318" s="13" t="n">
        <x:v>45824</x:v>
      </x:c>
      <x:c r="H318" s="2" t="str">
        <x:v>02_Konten/GIRO_2025-06.pdf</x:v>
      </x:c>
      <x:c r="I318" s="2" t="str"/>
      <x:c r="J318" s="2" t="str">
        <x:v>B0296</x:v>
      </x:c>
    </x:row>
    <x:row r="319" ht="35" customHeight="1">
      <x:c r="A319" s="2" t="str">
        <x:v>B0562</x:v>
      </x:c>
      <x:c r="B319" s="2" t="str">
        <x:v>GIRO</x:v>
      </x:c>
      <x:c r="C319" s="13" t="n">
        <x:v>45825</x:v>
      </x:c>
      <x:c r="D319" s="14" t="str">
        <x:v>Geldautomat Karow</x:v>
      </x:c>
      <x:c r="E319" s="14" t="str">
        <x:v>Bargeldauszahlung Karte 0441, Terminal KA-03</x:v>
      </x:c>
      <x:c r="F319" s="12" t="n">
        <x:v>-550</x:v>
      </x:c>
      <x:c r="G319" s="13" t="n">
        <x:v>45825</x:v>
      </x:c>
      <x:c r="H319" s="2" t="str">
        <x:v>02_Konten/GIRO_2025-06.pdf</x:v>
      </x:c>
      <x:c r="I319" s="2" t="str"/>
      <x:c r="J319" s="2" t="str">
        <x:v>B0562</x:v>
      </x:c>
    </x:row>
    <x:row r="320" ht="35" customHeight="1">
      <x:c r="A320" s="2" t="str">
        <x:v>B0297</x:v>
      </x:c>
      <x:c r="B320" s="2" t="str">
        <x:v>GIRO</x:v>
      </x:c>
      <x:c r="C320" s="13" t="n">
        <x:v>45826</x:v>
      </x:c>
      <x:c r="D320" s="14" t="str">
        <x:v>Geldautomat Karow</x:v>
      </x:c>
      <x:c r="E320" s="14" t="str">
        <x:v>Bargeldauszahlung Karte 0441, Terminal KA-03</x:v>
      </x:c>
      <x:c r="F320" s="12" t="n">
        <x:v>-200</x:v>
      </x:c>
      <x:c r="G320" s="13" t="n">
        <x:v>45826</x:v>
      </x:c>
      <x:c r="H320" s="2" t="str">
        <x:v>02_Konten/GIRO_2025-06.pdf</x:v>
      </x:c>
      <x:c r="I320" s="2" t="str"/>
      <x:c r="J320" s="2" t="str">
        <x:v>B0297</x:v>
      </x:c>
    </x:row>
    <x:row r="321" ht="35" customHeight="1">
      <x:c r="A321" s="2" t="str">
        <x:v>B0304</x:v>
      </x:c>
      <x:c r="B321" s="2" t="str">
        <x:v>GIRO</x:v>
      </x:c>
      <x:c r="C321" s="13" t="n">
        <x:v>45827</x:v>
      </x:c>
      <x:c r="D321" s="14" t="str">
        <x:v>Kirchengemeinde Am Fliederbogen</x:v>
      </x:c>
      <x:c r="E321" s="14" t="str">
        <x:v>Gemeindespende</x:v>
      </x:c>
      <x:c r="F321" s="12" t="n">
        <x:v>-15</x:v>
      </x:c>
      <x:c r="G321" s="13" t="n">
        <x:v>45827</x:v>
      </x:c>
      <x:c r="H321" s="2" t="str">
        <x:v>02_Konten/GIRO_2025-06.pdf</x:v>
      </x:c>
      <x:c r="I321" s="2" t="str"/>
      <x:c r="J321" s="2" t="str">
        <x:v>B0304</x:v>
      </x:c>
    </x:row>
    <x:row r="322" ht="35" customHeight="1">
      <x:c r="A322" s="2" t="str">
        <x:v>B0298</x:v>
      </x:c>
      <x:c r="B322" s="2" t="str">
        <x:v>GIRO</x:v>
      </x:c>
      <x:c r="C322" s="13" t="n">
        <x:v>45828</x:v>
      </x:c>
      <x:c r="D322" s="14" t="str">
        <x:v>Tierladen Pfötchen</x:v>
      </x:c>
      <x:c r="E322" s="14" t="str">
        <x:v>Futter und Streu für Kater Mürbchen</x:v>
      </x:c>
      <x:c r="F322" s="12" t="n">
        <x:v>-48.5</x:v>
      </x:c>
      <x:c r="G322" s="13" t="n">
        <x:v>45828</x:v>
      </x:c>
      <x:c r="H322" s="2" t="str">
        <x:v>02_Konten/GIRO_2025-06.pdf</x:v>
      </x:c>
      <x:c r="I322" s="2" t="str"/>
      <x:c r="J322" s="2" t="str">
        <x:v>B0298</x:v>
      </x:c>
    </x:row>
    <x:row r="323" ht="35" customHeight="1">
      <x:c r="A323" s="2" t="str">
        <x:v>B0299</x:v>
      </x:c>
      <x:c r="B323" s="2" t="str">
        <x:v>GIRO</x:v>
      </x:c>
      <x:c r="C323" s="13" t="n">
        <x:v>45831</x:v>
      </x:c>
      <x:c r="D323" s="14" t="str">
        <x:v>SofaKino Digital GmbH</x:v>
      </x:c>
      <x:c r="E323" s="14" t="str">
        <x:v>Monatsabo SK-77380 / 2025-06</x:v>
      </x:c>
      <x:c r="F323" s="12" t="n">
        <x:v>-12.99</x:v>
      </x:c>
      <x:c r="G323" s="13" t="n">
        <x:v>45831</x:v>
      </x:c>
      <x:c r="H323" s="2" t="str">
        <x:v>02_Konten/GIRO_2025-06.pdf</x:v>
      </x:c>
      <x:c r="I323" s="2" t="str"/>
      <x:c r="J323" s="2" t="str">
        <x:v>B0299</x:v>
      </x:c>
    </x:row>
    <x:row r="324" ht="35" customHeight="1">
      <x:c r="A324" s="2" t="str">
        <x:v>B0305</x:v>
      </x:c>
      <x:c r="B324" s="2" t="str">
        <x:v>GIRO</x:v>
      </x:c>
      <x:c r="C324" s="13" t="n">
        <x:v>45831</x:v>
      </x:c>
      <x:c r="D324" s="14" t="str">
        <x:v>Adelheid Pfister Sparen</x:v>
      </x:c>
      <x:c r="E324" s="14" t="str">
        <x:v>Umbuchung auf eigenes Sparkonto</x:v>
      </x:c>
      <x:c r="F324" s="12" t="n">
        <x:v>-250</x:v>
      </x:c>
      <x:c r="G324" s="13" t="n">
        <x:v>45831</x:v>
      </x:c>
      <x:c r="H324" s="2" t="str">
        <x:v>02_Konten/GIRO_2025-06.pdf</x:v>
      </x:c>
      <x:c r="I324" s="2" t="str"/>
      <x:c r="J324" s="2" t="str">
        <x:v>B0305</x:v>
      </x:c>
    </x:row>
    <x:row r="325" ht="35" customHeight="1">
      <x:c r="A325" s="2" t="str">
        <x:v>B0306</x:v>
      </x:c>
      <x:c r="B325" s="2" t="str">
        <x:v>SPAR</x:v>
      </x:c>
      <x:c r="C325" s="13" t="n">
        <x:v>45831</x:v>
      </x:c>
      <x:c r="D325" s="14" t="str">
        <x:v>Adelheid Pfister Giro</x:v>
      </x:c>
      <x:c r="E325" s="14" t="str">
        <x:v>Umbuchung vom eigenen Girokonto</x:v>
      </x:c>
      <x:c r="F325" s="12" t="n">
        <x:v>250</x:v>
      </x:c>
      <x:c r="G325" s="13" t="n">
        <x:v>45831</x:v>
      </x:c>
      <x:c r="H325" s="2" t="str">
        <x:v>02_Konten/SPAR_2025-06.pdf</x:v>
      </x:c>
      <x:c r="I325" s="2" t="str"/>
      <x:c r="J325" s="2" t="str">
        <x:v>B0306</x:v>
      </x:c>
    </x:row>
    <x:row r="326" ht="35" customHeight="1">
      <x:c r="A326" s="2" t="str">
        <x:v>B0303</x:v>
      </x:c>
      <x:c r="B326" s="2" t="str">
        <x:v>GIRO</x:v>
      </x:c>
      <x:c r="C326" s="13" t="n">
        <x:v>45832</x:v>
      </x:c>
      <x:c r="D326" s="14" t="str">
        <x:v>Egon Knusper</x:v>
      </x:c>
      <x:c r="E326" s="14" t="str">
        <x:v>Pauschale Einkauf und Technik 2025-06</x:v>
      </x:c>
      <x:c r="F326" s="12" t="n">
        <x:v>-145</x:v>
      </x:c>
      <x:c r="G326" s="13" t="n">
        <x:v>45832</x:v>
      </x:c>
      <x:c r="H326" s="2" t="str">
        <x:v>02_Konten/GIRO_2025-06.pdf</x:v>
      </x:c>
      <x:c r="I326" s="2" t="str">
        <x:v>EK-2025-06</x:v>
      </x:c>
      <x:c r="J326" s="2" t="str">
        <x:v>B0303</x:v>
      </x:c>
    </x:row>
    <x:row r="327" ht="35" customHeight="1">
      <x:c r="A327" s="2" t="str">
        <x:v>B0300</x:v>
      </x:c>
      <x:c r="B327" s="2" t="str">
        <x:v>GIRO</x:v>
      </x:c>
      <x:c r="C327" s="13" t="n">
        <x:v>45834</x:v>
      </x:c>
      <x:c r="D327" s="14" t="str">
        <x:v>Fensterbank Spree eG</x:v>
      </x:c>
      <x:c r="E327" s="14" t="str">
        <x:v>Kontoführung 2025-06</x:v>
      </x:c>
      <x:c r="F327" s="12" t="n">
        <x:v>-6.9</x:v>
      </x:c>
      <x:c r="G327" s="13" t="n">
        <x:v>45834</x:v>
      </x:c>
      <x:c r="H327" s="2" t="str">
        <x:v>02_Konten/GIRO_2025-06.pdf</x:v>
      </x:c>
      <x:c r="I327" s="2" t="str"/>
      <x:c r="J327" s="2" t="str">
        <x:v>B0300</x:v>
      </x:c>
    </x:row>
    <x:row r="328" ht="35" customHeight="1">
      <x:c r="A328" s="2" t="str">
        <x:v>B0289</x:v>
      </x:c>
      <x:c r="B328" s="2" t="str">
        <x:v>GIRO</x:v>
      </x:c>
      <x:c r="C328" s="13" t="n">
        <x:v>45838</x:v>
      </x:c>
      <x:c r="D328" s="14" t="str">
        <x:v>Rentenstelle Nord</x:v>
      </x:c>
      <x:c r="E328" s="14" t="str">
        <x:v>Altersrente 2025-06</x:v>
      </x:c>
      <x:c r="F328" s="12" t="n">
        <x:v>1960</x:v>
      </x:c>
      <x:c r="G328" s="13" t="n">
        <x:v>45838</x:v>
      </x:c>
      <x:c r="H328" s="2" t="str">
        <x:v>02_Konten/GIRO_2025-06.pdf</x:v>
      </x:c>
      <x:c r="I328" s="2" t="str"/>
      <x:c r="J328" s="2" t="str">
        <x:v>B0289</x:v>
      </x:c>
    </x:row>
    <x:row r="329" ht="35" customHeight="1">
      <x:c r="A329" s="2" t="str">
        <x:v>B0290</x:v>
      </x:c>
      <x:c r="B329" s="2" t="str">
        <x:v>GIRO</x:v>
      </x:c>
      <x:c r="C329" s="13" t="n">
        <x:v>45838</x:v>
      </x:c>
      <x:c r="D329" s="14" t="str">
        <x:v>Rentenstelle Nord</x:v>
      </x:c>
      <x:c r="E329" s="14" t="str">
        <x:v>Hinterbliebenenrente 2025-06</x:v>
      </x:c>
      <x:c r="F329" s="12" t="n">
        <x:v>485</x:v>
      </x:c>
      <x:c r="G329" s="13" t="n">
        <x:v>45838</x:v>
      </x:c>
      <x:c r="H329" s="2" t="str">
        <x:v>02_Konten/GIRO_2025-06.pdf</x:v>
      </x:c>
      <x:c r="I329" s="2" t="str"/>
      <x:c r="J329" s="2" t="str">
        <x:v>B0290</x:v>
      </x:c>
    </x:row>
    <x:row r="330" ht="35" customHeight="1">
      <x:c r="A330" s="2" t="str">
        <x:v>B0309</x:v>
      </x:c>
      <x:c r="B330" s="2" t="str">
        <x:v>GIRO</x:v>
      </x:c>
      <x:c r="C330" s="13" t="n">
        <x:v>45841</x:v>
      </x:c>
      <x:c r="D330" s="14" t="str">
        <x:v>Hausverwaltung Lindenblatt KG</x:v>
      </x:c>
      <x:c r="E330" s="14" t="str">
        <x:v>Warmmiete Fliederbogen 17 / 2025-07</x:v>
      </x:c>
      <x:c r="F330" s="12" t="n">
        <x:v>-820</x:v>
      </x:c>
      <x:c r="G330" s="13" t="n">
        <x:v>45841</x:v>
      </x:c>
      <x:c r="H330" s="2" t="str">
        <x:v>02_Konten/GIRO_2025-07.pdf</x:v>
      </x:c>
      <x:c r="I330" s="2" t="str"/>
      <x:c r="J330" s="2" t="str">
        <x:v>B0309</x:v>
      </x:c>
    </x:row>
    <x:row r="331" ht="35" customHeight="1">
      <x:c r="A331" s="2" t="str">
        <x:v>B0310</x:v>
      </x:c>
      <x:c r="B331" s="2" t="str">
        <x:v>GIRO</x:v>
      </x:c>
      <x:c r="C331" s="13" t="n">
        <x:v>45845</x:v>
      </x:c>
      <x:c r="D331" s="14" t="str">
        <x:v>Nordlicht Energie Berlin GmbH</x:v>
      </x:c>
      <x:c r="E331" s="14" t="str">
        <x:v>Abschlag Kundennummer NE-48017 / 2025-07</x:v>
      </x:c>
      <x:c r="F331" s="12" t="n">
        <x:v>-79</x:v>
      </x:c>
      <x:c r="G331" s="13" t="n">
        <x:v>45845</x:v>
      </x:c>
      <x:c r="H331" s="2" t="str">
        <x:v>02_Konten/GIRO_2025-07.pdf</x:v>
      </x:c>
      <x:c r="I331" s="2" t="str"/>
      <x:c r="J331" s="2" t="str">
        <x:v>B0310</x:v>
      </x:c>
    </x:row>
    <x:row r="332" ht="35" customHeight="1">
      <x:c r="A332" s="2" t="str">
        <x:v>B0311</x:v>
      </x:c>
      <x:c r="B332" s="2" t="str">
        <x:v>GIRO</x:v>
      </x:c>
      <x:c r="C332" s="13" t="n">
        <x:v>45846</x:v>
      </x:c>
      <x:c r="D332" s="14" t="str">
        <x:v>Sprechfink Telekom GmbH</x:v>
      </x:c>
      <x:c r="E332" s="14" t="str">
        <x:v>Festnetz und Internet SP-118044 / 2025-07</x:v>
      </x:c>
      <x:c r="F332" s="12" t="n">
        <x:v>-44.99</x:v>
      </x:c>
      <x:c r="G332" s="13" t="n">
        <x:v>45846</x:v>
      </x:c>
      <x:c r="H332" s="2" t="str">
        <x:v>02_Konten/GIRO_2025-07.pdf</x:v>
      </x:c>
      <x:c r="I332" s="2" t="str"/>
      <x:c r="J332" s="2" t="str">
        <x:v>B0311</x:v>
      </x:c>
    </x:row>
    <x:row r="333" ht="35" customHeight="1">
      <x:c r="A333" s="2" t="str">
        <x:v>B0319</x:v>
      </x:c>
      <x:c r="B333" s="2" t="str">
        <x:v>GIRO</x:v>
      </x:c>
      <x:c r="C333" s="13" t="n">
        <x:v>45847</x:v>
      </x:c>
      <x:c r="D333" s="14" t="str">
        <x:v>Glücksfenster Service GmbH</x:v>
      </x:c>
      <x:c r="E333" s="14" t="str">
        <x:v>Teilnahmeservice GF-90335 / 2025-07</x:v>
      </x:c>
      <x:c r="F333" s="12" t="n">
        <x:v>-29.9</x:v>
      </x:c>
      <x:c r="G333" s="13" t="n">
        <x:v>45847</x:v>
      </x:c>
      <x:c r="H333" s="2" t="str">
        <x:v>02_Konten/GIRO_2025-07.pdf</x:v>
      </x:c>
      <x:c r="I333" s="2" t="str"/>
      <x:c r="J333" s="2" t="str">
        <x:v>B0319</x:v>
      </x:c>
    </x:row>
    <x:row r="334" ht="35" customHeight="1">
      <x:c r="A334" s="2" t="str">
        <x:v>B0320</x:v>
      </x:c>
      <x:c r="B334" s="2" t="str">
        <x:v>GIRO</x:v>
      </x:c>
      <x:c r="C334" s="13" t="n">
        <x:v>45849</x:v>
      </x:c>
      <x:c r="D334" s="14" t="str">
        <x:v>LebensKompass Direkt GmbH</x:v>
      </x:c>
      <x:c r="E334" s="14" t="str">
        <x:v>Digitalpaket LK-55771 / 2025-07</x:v>
      </x:c>
      <x:c r="F334" s="12" t="n">
        <x:v>-69.9</x:v>
      </x:c>
      <x:c r="G334" s="13" t="n">
        <x:v>45849</x:v>
      </x:c>
      <x:c r="H334" s="2" t="str">
        <x:v>02_Konten/GIRO_2025-07.pdf</x:v>
      </x:c>
      <x:c r="I334" s="2" t="str"/>
      <x:c r="J334" s="2" t="str">
        <x:v>B0320</x:v>
      </x:c>
    </x:row>
    <x:row r="335" ht="35" customHeight="1">
      <x:c r="A335" s="2" t="str">
        <x:v>B0312</x:v>
      </x:c>
      <x:c r="B335" s="2" t="str">
        <x:v>GIRO</x:v>
      </x:c>
      <x:c r="C335" s="13" t="n">
        <x:v>45852</x:v>
      </x:c>
      <x:c r="D335" s="14" t="str">
        <x:v>Alltagshilfe Mohnblüte GmbH</x:v>
      </x:c>
      <x:c r="E335" s="14" t="str">
        <x:v>Haushaltshilfe Rechnung MH-2025-07</x:v>
      </x:c>
      <x:c r="F335" s="12" t="n">
        <x:v>-126.5</x:v>
      </x:c>
      <x:c r="G335" s="13" t="n">
        <x:v>45852</x:v>
      </x:c>
      <x:c r="H335" s="2" t="str">
        <x:v>02_Konten/GIRO_2025-07.pdf</x:v>
      </x:c>
      <x:c r="I335" s="2" t="str">
        <x:v>MH-2025-07</x:v>
      </x:c>
      <x:c r="J335" s="2" t="str">
        <x:v>B0312</x:v>
      </x:c>
    </x:row>
    <x:row r="336" ht="35" customHeight="1">
      <x:c r="A336" s="2" t="str">
        <x:v>B0313</x:v>
      </x:c>
      <x:c r="B336" s="2" t="str">
        <x:v>GIRO</x:v>
      </x:c>
      <x:c r="C336" s="13" t="n">
        <x:v>45852</x:v>
      </x:c>
      <x:c r="D336" s="14" t="str">
        <x:v>Frischemarkt Karow</x:v>
      </x:c>
      <x:c r="E336" s="14" t="str">
        <x:v>Kartenzahlung Lebensmittel, Belegserie FK 2025-07</x:v>
      </x:c>
      <x:c r="F336" s="12" t="n">
        <x:v>-243.77</x:v>
      </x:c>
      <x:c r="G336" s="13" t="n">
        <x:v>45852</x:v>
      </x:c>
      <x:c r="H336" s="2" t="str">
        <x:v>02_Konten/GIRO_2025-07.pdf</x:v>
      </x:c>
      <x:c r="I336" s="2" t="str"/>
      <x:c r="J336" s="2" t="str">
        <x:v>B0313</x:v>
      </x:c>
    </x:row>
    <x:row r="337" ht="35" customHeight="1">
      <x:c r="A337" s="2" t="str">
        <x:v>B0314</x:v>
      </x:c>
      <x:c r="B337" s="2" t="str">
        <x:v>GIRO</x:v>
      </x:c>
      <x:c r="C337" s="13" t="n">
        <x:v>45853</x:v>
      </x:c>
      <x:c r="D337" s="14" t="str">
        <x:v>Apotheke Silberblatt</x:v>
      </x:c>
      <x:c r="E337" s="14" t="str">
        <x:v>Zuzahlung und Pflegebedarf 2025-07</x:v>
      </x:c>
      <x:c r="F337" s="12" t="n">
        <x:v>-30.23</x:v>
      </x:c>
      <x:c r="G337" s="13" t="n">
        <x:v>45853</x:v>
      </x:c>
      <x:c r="H337" s="2" t="str">
        <x:v>02_Konten/GIRO_2025-07.pdf</x:v>
      </x:c>
      <x:c r="I337" s="2" t="str">
        <x:v>AP-2025-07</x:v>
      </x:c>
      <x:c r="J337" s="2" t="str">
        <x:v>B0314</x:v>
      </x:c>
    </x:row>
    <x:row r="338" ht="35" customHeight="1">
      <x:c r="A338" s="2" t="str">
        <x:v>B0315</x:v>
      </x:c>
      <x:c r="B338" s="2" t="str">
        <x:v>GIRO</x:v>
      </x:c>
      <x:c r="C338" s="13" t="n">
        <x:v>45856</x:v>
      </x:c>
      <x:c r="D338" s="14" t="str">
        <x:v>Geldautomat Karow</x:v>
      </x:c>
      <x:c r="E338" s="14" t="str">
        <x:v>Bargeldauszahlung Karte 0441, Terminal KA-03</x:v>
      </x:c>
      <x:c r="F338" s="12" t="n">
        <x:v>-200</x:v>
      </x:c>
      <x:c r="G338" s="13" t="n">
        <x:v>45856</x:v>
      </x:c>
      <x:c r="H338" s="2" t="str">
        <x:v>02_Konten/GIRO_2025-07.pdf</x:v>
      </x:c>
      <x:c r="I338" s="2" t="str"/>
      <x:c r="J338" s="2" t="str">
        <x:v>B0315</x:v>
      </x:c>
    </x:row>
    <x:row r="339" ht="35" customHeight="1">
      <x:c r="A339" s="2" t="str">
        <x:v>B0316</x:v>
      </x:c>
      <x:c r="B339" s="2" t="str">
        <x:v>GIRO</x:v>
      </x:c>
      <x:c r="C339" s="13" t="n">
        <x:v>45859</x:v>
      </x:c>
      <x:c r="D339" s="14" t="str">
        <x:v>Tierladen Pfötchen</x:v>
      </x:c>
      <x:c r="E339" s="14" t="str">
        <x:v>Futter und Streu für Kater Mürbchen</x:v>
      </x:c>
      <x:c r="F339" s="12" t="n">
        <x:v>-48.5</x:v>
      </x:c>
      <x:c r="G339" s="13" t="n">
        <x:v>45859</x:v>
      </x:c>
      <x:c r="H339" s="2" t="str">
        <x:v>02_Konten/GIRO_2025-07.pdf</x:v>
      </x:c>
      <x:c r="I339" s="2" t="str"/>
      <x:c r="J339" s="2" t="str">
        <x:v>B0316</x:v>
      </x:c>
    </x:row>
    <x:row r="340" ht="35" customHeight="1">
      <x:c r="A340" s="2" t="str">
        <x:v>B0317</x:v>
      </x:c>
      <x:c r="B340" s="2" t="str">
        <x:v>GIRO</x:v>
      </x:c>
      <x:c r="C340" s="13" t="n">
        <x:v>45860</x:v>
      </x:c>
      <x:c r="D340" s="14" t="str">
        <x:v>SofaKino Digital GmbH</x:v>
      </x:c>
      <x:c r="E340" s="14" t="str">
        <x:v>Monatsabo SK-77380 / 2025-07</x:v>
      </x:c>
      <x:c r="F340" s="12" t="n">
        <x:v>-12.99</x:v>
      </x:c>
      <x:c r="G340" s="13" t="n">
        <x:v>45860</x:v>
      </x:c>
      <x:c r="H340" s="2" t="str">
        <x:v>02_Konten/GIRO_2025-07.pdf</x:v>
      </x:c>
      <x:c r="I340" s="2" t="str"/>
      <x:c r="J340" s="2" t="str">
        <x:v>B0317</x:v>
      </x:c>
    </x:row>
    <x:row r="341" ht="35" customHeight="1">
      <x:c r="A341" s="2" t="str">
        <x:v>B0321</x:v>
      </x:c>
      <x:c r="B341" s="2" t="str">
        <x:v>GIRO</x:v>
      </x:c>
      <x:c r="C341" s="13" t="n">
        <x:v>45862</x:v>
      </x:c>
      <x:c r="D341" s="14" t="str">
        <x:v>Egon Knusper</x:v>
      </x:c>
      <x:c r="E341" s="14" t="str">
        <x:v>Pauschale Einkauf und Technik 2025-07</x:v>
      </x:c>
      <x:c r="F341" s="12" t="n">
        <x:v>-145</x:v>
      </x:c>
      <x:c r="G341" s="13" t="n">
        <x:v>45862</x:v>
      </x:c>
      <x:c r="H341" s="2" t="str">
        <x:v>02_Konten/GIRO_2025-07.pdf</x:v>
      </x:c>
      <x:c r="I341" s="2" t="str">
        <x:v>EK-2025-07</x:v>
      </x:c>
      <x:c r="J341" s="2" t="str">
        <x:v>B0321</x:v>
      </x:c>
    </x:row>
    <x:row r="342" ht="35" customHeight="1">
      <x:c r="A342" s="2" t="str">
        <x:v>B0307</x:v>
      </x:c>
      <x:c r="B342" s="2" t="str">
        <x:v>GIRO</x:v>
      </x:c>
      <x:c r="C342" s="13" t="n">
        <x:v>45866</x:v>
      </x:c>
      <x:c r="D342" s="14" t="str">
        <x:v>Rentenstelle Nord</x:v>
      </x:c>
      <x:c r="E342" s="14" t="str">
        <x:v>Altersrente 2025-07</x:v>
      </x:c>
      <x:c r="F342" s="12" t="n">
        <x:v>2020</x:v>
      </x:c>
      <x:c r="G342" s="13" t="n">
        <x:v>45866</x:v>
      </x:c>
      <x:c r="H342" s="2" t="str">
        <x:v>02_Konten/GIRO_2025-07.pdf</x:v>
      </x:c>
      <x:c r="I342" s="2" t="str"/>
      <x:c r="J342" s="2" t="str">
        <x:v>B0307</x:v>
      </x:c>
    </x:row>
    <x:row r="343" ht="35" customHeight="1">
      <x:c r="A343" s="2" t="str">
        <x:v>B0308</x:v>
      </x:c>
      <x:c r="B343" s="2" t="str">
        <x:v>GIRO</x:v>
      </x:c>
      <x:c r="C343" s="13" t="n">
        <x:v>45866</x:v>
      </x:c>
      <x:c r="D343" s="14" t="str">
        <x:v>Rentenstelle Nord</x:v>
      </x:c>
      <x:c r="E343" s="14" t="str">
        <x:v>Hinterbliebenenrente 2025-07</x:v>
      </x:c>
      <x:c r="F343" s="12" t="n">
        <x:v>485</x:v>
      </x:c>
      <x:c r="G343" s="13" t="n">
        <x:v>45866</x:v>
      </x:c>
      <x:c r="H343" s="2" t="str">
        <x:v>02_Konten/GIRO_2025-07.pdf</x:v>
      </x:c>
      <x:c r="I343" s="2" t="str"/>
      <x:c r="J343" s="2" t="str">
        <x:v>B0308</x:v>
      </x:c>
    </x:row>
    <x:row r="344" ht="35" customHeight="1">
      <x:c r="A344" s="2" t="str">
        <x:v>B0318</x:v>
      </x:c>
      <x:c r="B344" s="2" t="str">
        <x:v>GIRO</x:v>
      </x:c>
      <x:c r="C344" s="13" t="n">
        <x:v>45866</x:v>
      </x:c>
      <x:c r="D344" s="14" t="str">
        <x:v>Fensterbank Spree eG</x:v>
      </x:c>
      <x:c r="E344" s="14" t="str">
        <x:v>Kontoführung 2025-07</x:v>
      </x:c>
      <x:c r="F344" s="12" t="n">
        <x:v>-6.9</x:v>
      </x:c>
      <x:c r="G344" s="13" t="n">
        <x:v>45866</x:v>
      </x:c>
      <x:c r="H344" s="2" t="str">
        <x:v>02_Konten/GIRO_2025-07.pdf</x:v>
      </x:c>
      <x:c r="I344" s="2" t="str"/>
      <x:c r="J344" s="2" t="str">
        <x:v>B0318</x:v>
      </x:c>
    </x:row>
    <x:row r="345" ht="35" customHeight="1">
      <x:c r="A345" s="2" t="str">
        <x:v>B0324</x:v>
      </x:c>
      <x:c r="B345" s="2" t="str">
        <x:v>GIRO</x:v>
      </x:c>
      <x:c r="C345" s="13" t="n">
        <x:v>45873</x:v>
      </x:c>
      <x:c r="D345" s="14" t="str">
        <x:v>Hausverwaltung Lindenblatt KG</x:v>
      </x:c>
      <x:c r="E345" s="14" t="str">
        <x:v>Warmmiete Fliederbogen 17 / 2025-08</x:v>
      </x:c>
      <x:c r="F345" s="12" t="n">
        <x:v>-820</x:v>
      </x:c>
      <x:c r="G345" s="13" t="n">
        <x:v>45873</x:v>
      </x:c>
      <x:c r="H345" s="2" t="str">
        <x:v>02_Konten/GIRO_2025-08.pdf</x:v>
      </x:c>
      <x:c r="I345" s="2" t="str"/>
      <x:c r="J345" s="2" t="str">
        <x:v>B0324</x:v>
      </x:c>
    </x:row>
    <x:row r="346" ht="35" customHeight="1">
      <x:c r="A346" s="2" t="str">
        <x:v>B0325</x:v>
      </x:c>
      <x:c r="B346" s="2" t="str">
        <x:v>GIRO</x:v>
      </x:c>
      <x:c r="C346" s="13" t="n">
        <x:v>45875</x:v>
      </x:c>
      <x:c r="D346" s="14" t="str">
        <x:v>Nordlicht Energie Berlin GmbH</x:v>
      </x:c>
      <x:c r="E346" s="14" t="str">
        <x:v>Abschlag Kundennummer NE-48017 / 2025-08</x:v>
      </x:c>
      <x:c r="F346" s="12" t="n">
        <x:v>-79</x:v>
      </x:c>
      <x:c r="G346" s="13" t="n">
        <x:v>45875</x:v>
      </x:c>
      <x:c r="H346" s="2" t="str">
        <x:v>02_Konten/GIRO_2025-08.pdf</x:v>
      </x:c>
      <x:c r="I346" s="2" t="str"/>
      <x:c r="J346" s="2" t="str">
        <x:v>B0325</x:v>
      </x:c>
    </x:row>
    <x:row r="347" ht="35" customHeight="1">
      <x:c r="A347" s="2" t="str">
        <x:v>B0563</x:v>
      </x:c>
      <x:c r="B347" s="2" t="str">
        <x:v>GIRO</x:v>
      </x:c>
      <x:c r="C347" s="13" t="n">
        <x:v>45876</x:v>
      </x:c>
      <x:c r="D347" s="14" t="str">
        <x:v>Egon Knusper</x:v>
      </x:c>
      <x:c r="E347" s="14" t="str">
        <x:v>Drucker und Einrichtung, Barvorschuss</x:v>
      </x:c>
      <x:c r="F347" s="12" t="n">
        <x:v>-275</x:v>
      </x:c>
      <x:c r="G347" s="13" t="n">
        <x:v>45876</x:v>
      </x:c>
      <x:c r="H347" s="2" t="str">
        <x:v>02_Konten/GIRO_2025-08.pdf</x:v>
      </x:c>
      <x:c r="I347" s="2" t="str"/>
      <x:c r="J347" s="2" t="str">
        <x:v>B0563</x:v>
      </x:c>
    </x:row>
    <x:row r="348" ht="35" customHeight="1">
      <x:c r="A348" s="2" t="str">
        <x:v>B0326</x:v>
      </x:c>
      <x:c r="B348" s="2" t="str">
        <x:v>GIRO</x:v>
      </x:c>
      <x:c r="C348" s="13" t="n">
        <x:v>45877</x:v>
      </x:c>
      <x:c r="D348" s="14" t="str">
        <x:v>Sprechfink Telekom GmbH</x:v>
      </x:c>
      <x:c r="E348" s="14" t="str">
        <x:v>Festnetz und Internet SP-118044 / 2025-08</x:v>
      </x:c>
      <x:c r="F348" s="12" t="n">
        <x:v>-44.99</x:v>
      </x:c>
      <x:c r="G348" s="13" t="n">
        <x:v>45877</x:v>
      </x:c>
      <x:c r="H348" s="2" t="str">
        <x:v>02_Konten/GIRO_2025-08.pdf</x:v>
      </x:c>
      <x:c r="I348" s="2" t="str"/>
      <x:c r="J348" s="2" t="str">
        <x:v>B0326</x:v>
      </x:c>
    </x:row>
    <x:row r="349" ht="35" customHeight="1">
      <x:c r="A349" s="2" t="str">
        <x:v>B0334</x:v>
      </x:c>
      <x:c r="B349" s="2" t="str">
        <x:v>GIRO</x:v>
      </x:c>
      <x:c r="C349" s="13" t="n">
        <x:v>45880</x:v>
      </x:c>
      <x:c r="D349" s="14" t="str">
        <x:v>Glücksfenster Service GmbH</x:v>
      </x:c>
      <x:c r="E349" s="14" t="str">
        <x:v>Teilnahmeservice GF-90335 / 2025-08</x:v>
      </x:c>
      <x:c r="F349" s="12" t="n">
        <x:v>-29.9</x:v>
      </x:c>
      <x:c r="G349" s="13" t="n">
        <x:v>45880</x:v>
      </x:c>
      <x:c r="H349" s="2" t="str">
        <x:v>02_Konten/GIRO_2025-08.pdf</x:v>
      </x:c>
      <x:c r="I349" s="2" t="str"/>
      <x:c r="J349" s="2" t="str">
        <x:v>B0334</x:v>
      </x:c>
    </x:row>
    <x:row r="350" ht="35" customHeight="1">
      <x:c r="A350" s="2" t="str">
        <x:v>B0335</x:v>
      </x:c>
      <x:c r="B350" s="2" t="str">
        <x:v>GIRO</x:v>
      </x:c>
      <x:c r="C350" s="13" t="n">
        <x:v>45880</x:v>
      </x:c>
      <x:c r="D350" s="14" t="str">
        <x:v>LebensKompass Direkt GmbH</x:v>
      </x:c>
      <x:c r="E350" s="14" t="str">
        <x:v>Digitalpaket LK-55771 / 2025-08</x:v>
      </x:c>
      <x:c r="F350" s="12" t="n">
        <x:v>-69.9</x:v>
      </x:c>
      <x:c r="G350" s="13" t="n">
        <x:v>45880</x:v>
      </x:c>
      <x:c r="H350" s="2" t="str">
        <x:v>02_Konten/GIRO_2025-08.pdf</x:v>
      </x:c>
      <x:c r="I350" s="2" t="str"/>
      <x:c r="J350" s="2" t="str">
        <x:v>B0335</x:v>
      </x:c>
    </x:row>
    <x:row r="351" ht="35" customHeight="1">
      <x:c r="A351" s="2" t="str">
        <x:v>B0327</x:v>
      </x:c>
      <x:c r="B351" s="2" t="str">
        <x:v>GIRO</x:v>
      </x:c>
      <x:c r="C351" s="13" t="n">
        <x:v>45881</x:v>
      </x:c>
      <x:c r="D351" s="14" t="str">
        <x:v>Alltagshilfe Mohnblüte GmbH</x:v>
      </x:c>
      <x:c r="E351" s="14" t="str">
        <x:v>Haushaltshilfe Rechnung MH-2025-08</x:v>
      </x:c>
      <x:c r="F351" s="12" t="n">
        <x:v>-126.5</x:v>
      </x:c>
      <x:c r="G351" s="13" t="n">
        <x:v>45881</x:v>
      </x:c>
      <x:c r="H351" s="2" t="str">
        <x:v>02_Konten/GIRO_2025-08.pdf</x:v>
      </x:c>
      <x:c r="I351" s="2" t="str">
        <x:v>MH-2025-08</x:v>
      </x:c>
      <x:c r="J351" s="2" t="str">
        <x:v>B0327</x:v>
      </x:c>
    </x:row>
    <x:row r="352" ht="35" customHeight="1">
      <x:c r="A352" s="2" t="str">
        <x:v>B0328</x:v>
      </x:c>
      <x:c r="B352" s="2" t="str">
        <x:v>GIRO</x:v>
      </x:c>
      <x:c r="C352" s="13" t="n">
        <x:v>45883</x:v>
      </x:c>
      <x:c r="D352" s="14" t="str">
        <x:v>Frischemarkt Karow</x:v>
      </x:c>
      <x:c r="E352" s="14" t="str">
        <x:v>Kartenzahlung Lebensmittel, Belegserie FK 2025-08</x:v>
      </x:c>
      <x:c r="F352" s="12" t="n">
        <x:v>-245.14</x:v>
      </x:c>
      <x:c r="G352" s="13" t="n">
        <x:v>45883</x:v>
      </x:c>
      <x:c r="H352" s="2" t="str">
        <x:v>02_Konten/GIRO_2025-08.pdf</x:v>
      </x:c>
      <x:c r="I352" s="2" t="str"/>
      <x:c r="J352" s="2" t="str">
        <x:v>B0328</x:v>
      </x:c>
    </x:row>
    <x:row r="353" ht="35" customHeight="1">
      <x:c r="A353" s="2" t="str">
        <x:v>B0329</x:v>
      </x:c>
      <x:c r="B353" s="2" t="str">
        <x:v>GIRO</x:v>
      </x:c>
      <x:c r="C353" s="13" t="n">
        <x:v>45884</x:v>
      </x:c>
      <x:c r="D353" s="14" t="str">
        <x:v>Apotheke Silberblatt</x:v>
      </x:c>
      <x:c r="E353" s="14" t="str">
        <x:v>Zuzahlung und Pflegebedarf 2025-08</x:v>
      </x:c>
      <x:c r="F353" s="12" t="n">
        <x:v>-31.36</x:v>
      </x:c>
      <x:c r="G353" s="13" t="n">
        <x:v>45884</x:v>
      </x:c>
      <x:c r="H353" s="2" t="str">
        <x:v>02_Konten/GIRO_2025-08.pdf</x:v>
      </x:c>
      <x:c r="I353" s="2" t="str"/>
      <x:c r="J353" s="2" t="str">
        <x:v>B0329</x:v>
      </x:c>
    </x:row>
    <x:row r="354" ht="35" customHeight="1">
      <x:c r="A354" s="2" t="str">
        <x:v>B0330</x:v>
      </x:c>
      <x:c r="B354" s="2" t="str">
        <x:v>GIRO</x:v>
      </x:c>
      <x:c r="C354" s="13" t="n">
        <x:v>45887</x:v>
      </x:c>
      <x:c r="D354" s="14" t="str">
        <x:v>Geldautomat Karow</x:v>
      </x:c>
      <x:c r="E354" s="14" t="str">
        <x:v>Bargeldauszahlung Karte 0441, Terminal KA-03</x:v>
      </x:c>
      <x:c r="F354" s="12" t="n">
        <x:v>-200</x:v>
      </x:c>
      <x:c r="G354" s="13" t="n">
        <x:v>45887</x:v>
      </x:c>
      <x:c r="H354" s="2" t="str">
        <x:v>02_Konten/GIRO_2025-08.pdf</x:v>
      </x:c>
      <x:c r="I354" s="2" t="str"/>
      <x:c r="J354" s="2" t="str">
        <x:v>B0330</x:v>
      </x:c>
    </x:row>
    <x:row r="355" ht="35" customHeight="1">
      <x:c r="A355" s="2" t="str">
        <x:v>B0331</x:v>
      </x:c>
      <x:c r="B355" s="2" t="str">
        <x:v>GIRO</x:v>
      </x:c>
      <x:c r="C355" s="13" t="n">
        <x:v>45889</x:v>
      </x:c>
      <x:c r="D355" s="14" t="str">
        <x:v>Tierladen Pfötchen</x:v>
      </x:c>
      <x:c r="E355" s="14" t="str">
        <x:v>Futter und Streu für Kater Mürbchen</x:v>
      </x:c>
      <x:c r="F355" s="12" t="n">
        <x:v>-48.5</x:v>
      </x:c>
      <x:c r="G355" s="13" t="n">
        <x:v>45889</x:v>
      </x:c>
      <x:c r="H355" s="2" t="str">
        <x:v>02_Konten/GIRO_2025-08.pdf</x:v>
      </x:c>
      <x:c r="I355" s="2" t="str"/>
      <x:c r="J355" s="2" t="str">
        <x:v>B0331</x:v>
      </x:c>
    </x:row>
    <x:row r="356" ht="35" customHeight="1">
      <x:c r="A356" s="2" t="str">
        <x:v>B0332</x:v>
      </x:c>
      <x:c r="B356" s="2" t="str">
        <x:v>GIRO</x:v>
      </x:c>
      <x:c r="C356" s="13" t="n">
        <x:v>45891</x:v>
      </x:c>
      <x:c r="D356" s="14" t="str">
        <x:v>SofaKino Digital GmbH</x:v>
      </x:c>
      <x:c r="E356" s="14" t="str">
        <x:v>Monatsabo SK-77380 / 2025-08</x:v>
      </x:c>
      <x:c r="F356" s="12" t="n">
        <x:v>-12.99</x:v>
      </x:c>
      <x:c r="G356" s="13" t="n">
        <x:v>45891</x:v>
      </x:c>
      <x:c r="H356" s="2" t="str">
        <x:v>02_Konten/GIRO_2025-08.pdf</x:v>
      </x:c>
      <x:c r="I356" s="2" t="str"/>
      <x:c r="J356" s="2" t="str">
        <x:v>B0332</x:v>
      </x:c>
    </x:row>
    <x:row r="357" ht="35" customHeight="1">
      <x:c r="A357" s="2" t="str">
        <x:v>B0336</x:v>
      </x:c>
      <x:c r="B357" s="2" t="str">
        <x:v>GIRO</x:v>
      </x:c>
      <x:c r="C357" s="13" t="n">
        <x:v>45894</x:v>
      </x:c>
      <x:c r="D357" s="14" t="str">
        <x:v>Egon Knusper</x:v>
      </x:c>
      <x:c r="E357" s="14" t="str">
        <x:v>Pauschale Einkauf und Technik 2025-08</x:v>
      </x:c>
      <x:c r="F357" s="12" t="n">
        <x:v>-145</x:v>
      </x:c>
      <x:c r="G357" s="13" t="n">
        <x:v>45894</x:v>
      </x:c>
      <x:c r="H357" s="2" t="str">
        <x:v>02_Konten/GIRO_2025-08.pdf</x:v>
      </x:c>
      <x:c r="I357" s="2" t="str">
        <x:v>EK-2025-08</x:v>
      </x:c>
      <x:c r="J357" s="2" t="str">
        <x:v>B0336</x:v>
      </x:c>
    </x:row>
    <x:row r="358" ht="35" customHeight="1">
      <x:c r="A358" s="2" t="str">
        <x:v>B0333</x:v>
      </x:c>
      <x:c r="B358" s="2" t="str">
        <x:v>GIRO</x:v>
      </x:c>
      <x:c r="C358" s="13" t="n">
        <x:v>45895</x:v>
      </x:c>
      <x:c r="D358" s="14" t="str">
        <x:v>Fensterbank Spree eG</x:v>
      </x:c>
      <x:c r="E358" s="14" t="str">
        <x:v>Kontoführung 2025-08</x:v>
      </x:c>
      <x:c r="F358" s="12" t="n">
        <x:v>-6.9</x:v>
      </x:c>
      <x:c r="G358" s="13" t="n">
        <x:v>45895</x:v>
      </x:c>
      <x:c r="H358" s="2" t="str">
        <x:v>02_Konten/GIRO_2025-08.pdf</x:v>
      </x:c>
      <x:c r="I358" s="2" t="str"/>
      <x:c r="J358" s="2" t="str">
        <x:v>B0333</x:v>
      </x:c>
    </x:row>
    <x:row r="359" ht="35" customHeight="1">
      <x:c r="A359" s="2" t="str">
        <x:v>B0322</x:v>
      </x:c>
      <x:c r="B359" s="2" t="str">
        <x:v>GIRO</x:v>
      </x:c>
      <x:c r="C359" s="13" t="n">
        <x:v>45897</x:v>
      </x:c>
      <x:c r="D359" s="14" t="str">
        <x:v>Rentenstelle Nord</x:v>
      </x:c>
      <x:c r="E359" s="14" t="str">
        <x:v>Altersrente 2025-08</x:v>
      </x:c>
      <x:c r="F359" s="12" t="n">
        <x:v>2020</x:v>
      </x:c>
      <x:c r="G359" s="13" t="n">
        <x:v>45897</x:v>
      </x:c>
      <x:c r="H359" s="2" t="str">
        <x:v>02_Konten/GIRO_2025-08.pdf</x:v>
      </x:c>
      <x:c r="I359" s="2" t="str"/>
      <x:c r="J359" s="2" t="str">
        <x:v>B0322</x:v>
      </x:c>
    </x:row>
    <x:row r="360" ht="35" customHeight="1">
      <x:c r="A360" s="2" t="str">
        <x:v>B0323</x:v>
      </x:c>
      <x:c r="B360" s="2" t="str">
        <x:v>GIRO</x:v>
      </x:c>
      <x:c r="C360" s="13" t="n">
        <x:v>45897</x:v>
      </x:c>
      <x:c r="D360" s="14" t="str">
        <x:v>Rentenstelle Nord</x:v>
      </x:c>
      <x:c r="E360" s="14" t="str">
        <x:v>Hinterbliebenenrente 2025-08</x:v>
      </x:c>
      <x:c r="F360" s="12" t="n">
        <x:v>485</x:v>
      </x:c>
      <x:c r="G360" s="13" t="n">
        <x:v>45897</x:v>
      </x:c>
      <x:c r="H360" s="2" t="str">
        <x:v>02_Konten/GIRO_2025-08.pdf</x:v>
      </x:c>
      <x:c r="I360" s="2" t="str"/>
      <x:c r="J360" s="2" t="str">
        <x:v>B0323</x:v>
      </x:c>
    </x:row>
    <x:row r="361" ht="35" customHeight="1">
      <x:c r="A361" s="2" t="str">
        <x:v>B0339</x:v>
      </x:c>
      <x:c r="B361" s="2" t="str">
        <x:v>GIRO</x:v>
      </x:c>
      <x:c r="C361" s="13" t="n">
        <x:v>45903</x:v>
      </x:c>
      <x:c r="D361" s="14" t="str">
        <x:v>Hausverwaltung Lindenblatt KG</x:v>
      </x:c>
      <x:c r="E361" s="14" t="str">
        <x:v>Warmmiete Fliederbogen 17 / 2025-09</x:v>
      </x:c>
      <x:c r="F361" s="12" t="n">
        <x:v>-820</x:v>
      </x:c>
      <x:c r="G361" s="13" t="n">
        <x:v>45903</x:v>
      </x:c>
      <x:c r="H361" s="2" t="str">
        <x:v>02_Konten/GIRO_2025-09.pdf</x:v>
      </x:c>
      <x:c r="I361" s="2" t="str"/>
      <x:c r="J361" s="2" t="str">
        <x:v>B0339</x:v>
      </x:c>
    </x:row>
    <x:row r="362" ht="35" customHeight="1">
      <x:c r="A362" s="2" t="str">
        <x:v>B0340</x:v>
      </x:c>
      <x:c r="B362" s="2" t="str">
        <x:v>GIRO</x:v>
      </x:c>
      <x:c r="C362" s="13" t="n">
        <x:v>45908</x:v>
      </x:c>
      <x:c r="D362" s="14" t="str">
        <x:v>Nordlicht Energie Berlin GmbH</x:v>
      </x:c>
      <x:c r="E362" s="14" t="str">
        <x:v>Abschlag Kundennummer NE-48017 / 2025-09</x:v>
      </x:c>
      <x:c r="F362" s="12" t="n">
        <x:v>-79</x:v>
      </x:c>
      <x:c r="G362" s="13" t="n">
        <x:v>45908</x:v>
      </x:c>
      <x:c r="H362" s="2" t="str">
        <x:v>02_Konten/GIRO_2025-09.pdf</x:v>
      </x:c>
      <x:c r="I362" s="2" t="str"/>
      <x:c r="J362" s="2" t="str">
        <x:v>B0340</x:v>
      </x:c>
    </x:row>
    <x:row r="363" ht="35" customHeight="1">
      <x:c r="A363" s="2" t="str">
        <x:v>B0341</x:v>
      </x:c>
      <x:c r="B363" s="2" t="str">
        <x:v>GIRO</x:v>
      </x:c>
      <x:c r="C363" s="13" t="n">
        <x:v>45908</x:v>
      </x:c>
      <x:c r="D363" s="14" t="str">
        <x:v>Sprechfink Telekom GmbH</x:v>
      </x:c>
      <x:c r="E363" s="14" t="str">
        <x:v>Festnetz und Internet SP-118044 / 2025-09</x:v>
      </x:c>
      <x:c r="F363" s="12" t="n">
        <x:v>-44.99</x:v>
      </x:c>
      <x:c r="G363" s="13" t="n">
        <x:v>45908</x:v>
      </x:c>
      <x:c r="H363" s="2" t="str">
        <x:v>02_Konten/GIRO_2025-09.pdf</x:v>
      </x:c>
      <x:c r="I363" s="2" t="str"/>
      <x:c r="J363" s="2" t="str">
        <x:v>B0341</x:v>
      </x:c>
    </x:row>
    <x:row r="364" ht="35" customHeight="1">
      <x:c r="A364" s="2" t="str">
        <x:v>B0349</x:v>
      </x:c>
      <x:c r="B364" s="2" t="str">
        <x:v>GIRO</x:v>
      </x:c>
      <x:c r="C364" s="13" t="n">
        <x:v>45909</x:v>
      </x:c>
      <x:c r="D364" s="14" t="str">
        <x:v>Glücksfenster Service GmbH</x:v>
      </x:c>
      <x:c r="E364" s="14" t="str">
        <x:v>Teilnahmeservice GF-90335 / 2025-09</x:v>
      </x:c>
      <x:c r="F364" s="12" t="n">
        <x:v>-29.9</x:v>
      </x:c>
      <x:c r="G364" s="13" t="n">
        <x:v>45909</x:v>
      </x:c>
      <x:c r="H364" s="2" t="str">
        <x:v>02_Konten/GIRO_2025-09.pdf</x:v>
      </x:c>
      <x:c r="I364" s="2" t="str"/>
      <x:c r="J364" s="2" t="str">
        <x:v>B0349</x:v>
      </x:c>
    </x:row>
    <x:row r="365" ht="35" customHeight="1">
      <x:c r="A365" s="2" t="str">
        <x:v>B0350</x:v>
      </x:c>
      <x:c r="B365" s="2" t="str">
        <x:v>GIRO</x:v>
      </x:c>
      <x:c r="C365" s="13" t="n">
        <x:v>45911</x:v>
      </x:c>
      <x:c r="D365" s="14" t="str">
        <x:v>LebensKompass Direkt GmbH</x:v>
      </x:c>
      <x:c r="E365" s="14" t="str">
        <x:v>Digitalpaket LK-55771 / 2025-09</x:v>
      </x:c>
      <x:c r="F365" s="12" t="n">
        <x:v>-69.9</x:v>
      </x:c>
      <x:c r="G365" s="13" t="n">
        <x:v>45911</x:v>
      </x:c>
      <x:c r="H365" s="2" t="str">
        <x:v>02_Konten/GIRO_2025-09.pdf</x:v>
      </x:c>
      <x:c r="I365" s="2" t="str"/>
      <x:c r="J365" s="2" t="str">
        <x:v>B0350</x:v>
      </x:c>
    </x:row>
    <x:row r="366" ht="35" customHeight="1">
      <x:c r="A366" s="2" t="str">
        <x:v>B0342</x:v>
      </x:c>
      <x:c r="B366" s="2" t="str">
        <x:v>GIRO</x:v>
      </x:c>
      <x:c r="C366" s="13" t="n">
        <x:v>45912</x:v>
      </x:c>
      <x:c r="D366" s="14" t="str">
        <x:v>Alltagshilfe Mohnblüte GmbH</x:v>
      </x:c>
      <x:c r="E366" s="14" t="str">
        <x:v>Haushaltshilfe Rechnung MH-2025-09</x:v>
      </x:c>
      <x:c r="F366" s="12" t="n">
        <x:v>-126.5</x:v>
      </x:c>
      <x:c r="G366" s="13" t="n">
        <x:v>45912</x:v>
      </x:c>
      <x:c r="H366" s="2" t="str">
        <x:v>02_Konten/GIRO_2025-09.pdf</x:v>
      </x:c>
      <x:c r="I366" s="2" t="str">
        <x:v>MH-2025-09</x:v>
      </x:c>
      <x:c r="J366" s="2" t="str">
        <x:v>B0342</x:v>
      </x:c>
    </x:row>
    <x:row r="367" ht="35" customHeight="1">
      <x:c r="A367" s="2" t="str">
        <x:v>B0343</x:v>
      </x:c>
      <x:c r="B367" s="2" t="str">
        <x:v>GIRO</x:v>
      </x:c>
      <x:c r="C367" s="13" t="n">
        <x:v>45915</x:v>
      </x:c>
      <x:c r="D367" s="14" t="str">
        <x:v>Frischemarkt Karow</x:v>
      </x:c>
      <x:c r="E367" s="14" t="str">
        <x:v>Kartenzahlung Lebensmittel, Belegserie FK 2025-09</x:v>
      </x:c>
      <x:c r="F367" s="12" t="n">
        <x:v>-246.51</x:v>
      </x:c>
      <x:c r="G367" s="13" t="n">
        <x:v>45915</x:v>
      </x:c>
      <x:c r="H367" s="2" t="str">
        <x:v>02_Konten/GIRO_2025-09.pdf</x:v>
      </x:c>
      <x:c r="I367" s="2" t="str"/>
      <x:c r="J367" s="2" t="str">
        <x:v>B0343</x:v>
      </x:c>
    </x:row>
    <x:row r="368" ht="35" customHeight="1">
      <x:c r="A368" s="2" t="str">
        <x:v>B0344</x:v>
      </x:c>
      <x:c r="B368" s="2" t="str">
        <x:v>GIRO</x:v>
      </x:c>
      <x:c r="C368" s="13" t="n">
        <x:v>45915</x:v>
      </x:c>
      <x:c r="D368" s="14" t="str">
        <x:v>Apotheke Silberblatt</x:v>
      </x:c>
      <x:c r="E368" s="14" t="str">
        <x:v>Zuzahlung und Pflegebedarf 2025-09</x:v>
      </x:c>
      <x:c r="F368" s="12" t="n">
        <x:v>-32.49</x:v>
      </x:c>
      <x:c r="G368" s="13" t="n">
        <x:v>45915</x:v>
      </x:c>
      <x:c r="H368" s="2" t="str">
        <x:v>02_Konten/GIRO_2025-09.pdf</x:v>
      </x:c>
      <x:c r="I368" s="2" t="str"/>
      <x:c r="J368" s="2" t="str">
        <x:v>B0344</x:v>
      </x:c>
    </x:row>
    <x:row r="369" ht="35" customHeight="1">
      <x:c r="A369" s="2" t="str">
        <x:v>B0582</x:v>
      </x:c>
      <x:c r="B369" s="2" t="str">
        <x:v>GIRO</x:v>
      </x:c>
      <x:c r="C369" s="13" t="n">
        <x:v>45915</x:v>
      </x:c>
      <x:c r="D369" s="14" t="str">
        <x:v>Adelheid Pfister Sparen</x:v>
      </x:c>
      <x:c r="E369" s="14" t="str">
        <x:v>Umbuchung vom eigenen Sparkonto</x:v>
      </x:c>
      <x:c r="F369" s="12" t="n">
        <x:v>2500</x:v>
      </x:c>
      <x:c r="G369" s="13" t="n">
        <x:v>45915</x:v>
      </x:c>
      <x:c r="H369" s="2" t="str">
        <x:v>02_Konten/GIRO_2025-09.pdf</x:v>
      </x:c>
      <x:c r="I369" s="2" t="str"/>
      <x:c r="J369" s="2" t="str">
        <x:v>B0582</x:v>
      </x:c>
    </x:row>
    <x:row r="370" ht="35" customHeight="1">
      <x:c r="A370" s="2" t="str">
        <x:v>B0581</x:v>
      </x:c>
      <x:c r="B370" s="2" t="str">
        <x:v>SPAR</x:v>
      </x:c>
      <x:c r="C370" s="13" t="n">
        <x:v>45915</x:v>
      </x:c>
      <x:c r="D370" s="14" t="str">
        <x:v>Adelheid Pfister Giro</x:v>
      </x:c>
      <x:c r="E370" s="14" t="str">
        <x:v>Umbuchung auf eigenes Girokonto</x:v>
      </x:c>
      <x:c r="F370" s="12" t="n">
        <x:v>-2500</x:v>
      </x:c>
      <x:c r="G370" s="13" t="n">
        <x:v>45915</x:v>
      </x:c>
      <x:c r="H370" s="2" t="str">
        <x:v>02_Konten/SPAR_2025-09.pdf</x:v>
      </x:c>
      <x:c r="I370" s="2" t="str"/>
      <x:c r="J370" s="2" t="str">
        <x:v>B0581</x:v>
      </x:c>
    </x:row>
    <x:row r="371" ht="35" customHeight="1">
      <x:c r="A371" s="2" t="str">
        <x:v>B0564</x:v>
      </x:c>
      <x:c r="B371" s="2" t="str">
        <x:v>GIRO</x:v>
      </x:c>
      <x:c r="C371" s="13" t="n">
        <x:v>45916</x:v>
      </x:c>
      <x:c r="D371" s="14" t="str">
        <x:v>Egon Knusper</x:v>
      </x:c>
      <x:c r="E371" s="14" t="str">
        <x:v>Dankeschön Unterstützung</x:v>
      </x:c>
      <x:c r="F371" s="12" t="n">
        <x:v>-2200</x:v>
      </x:c>
      <x:c r="G371" s="13" t="n">
        <x:v>45916</x:v>
      </x:c>
      <x:c r="H371" s="2" t="str">
        <x:v>02_Konten/GIRO_2025-09.pdf</x:v>
      </x:c>
      <x:c r="I371" s="2" t="str"/>
      <x:c r="J371" s="2" t="str">
        <x:v>B0564</x:v>
      </x:c>
    </x:row>
    <x:row r="372" ht="35" customHeight="1">
      <x:c r="A372" s="2" t="str">
        <x:v>B0345</x:v>
      </x:c>
      <x:c r="B372" s="2" t="str">
        <x:v>GIRO</x:v>
      </x:c>
      <x:c r="C372" s="13" t="n">
        <x:v>45918</x:v>
      </x:c>
      <x:c r="D372" s="14" t="str">
        <x:v>Geldautomat Karow</x:v>
      </x:c>
      <x:c r="E372" s="14" t="str">
        <x:v>Bargeldauszahlung Karte 0441, Terminal KA-03</x:v>
      </x:c>
      <x:c r="F372" s="12" t="n">
        <x:v>-200</x:v>
      </x:c>
      <x:c r="G372" s="13" t="n">
        <x:v>45918</x:v>
      </x:c>
      <x:c r="H372" s="2" t="str">
        <x:v>02_Konten/GIRO_2025-09.pdf</x:v>
      </x:c>
      <x:c r="I372" s="2" t="str"/>
      <x:c r="J372" s="2" t="str">
        <x:v>B0345</x:v>
      </x:c>
    </x:row>
    <x:row r="373" ht="35" customHeight="1">
      <x:c r="A373" s="2" t="str">
        <x:v>B0352</x:v>
      </x:c>
      <x:c r="B373" s="2" t="str">
        <x:v>GIRO</x:v>
      </x:c>
      <x:c r="C373" s="13" t="n">
        <x:v>45919</x:v>
      </x:c>
      <x:c r="D373" s="14" t="str">
        <x:v>Kirchengemeinde Am Fliederbogen</x:v>
      </x:c>
      <x:c r="E373" s="14" t="str">
        <x:v>Gemeindespende</x:v>
      </x:c>
      <x:c r="F373" s="12" t="n">
        <x:v>-15</x:v>
      </x:c>
      <x:c r="G373" s="13" t="n">
        <x:v>45919</x:v>
      </x:c>
      <x:c r="H373" s="2" t="str">
        <x:v>02_Konten/GIRO_2025-09.pdf</x:v>
      </x:c>
      <x:c r="I373" s="2" t="str"/>
      <x:c r="J373" s="2" t="str">
        <x:v>B0352</x:v>
      </x:c>
    </x:row>
    <x:row r="374" ht="35" customHeight="1">
      <x:c r="A374" s="2" t="str">
        <x:v>B0346</x:v>
      </x:c>
      <x:c r="B374" s="2" t="str">
        <x:v>GIRO</x:v>
      </x:c>
      <x:c r="C374" s="13" t="n">
        <x:v>45922</x:v>
      </x:c>
      <x:c r="D374" s="14" t="str">
        <x:v>Tierladen Pfötchen</x:v>
      </x:c>
      <x:c r="E374" s="14" t="str">
        <x:v>Futter und Streu für Kater Mürbchen</x:v>
      </x:c>
      <x:c r="F374" s="12" t="n">
        <x:v>-48.5</x:v>
      </x:c>
      <x:c r="G374" s="13" t="n">
        <x:v>45922</x:v>
      </x:c>
      <x:c r="H374" s="2" t="str">
        <x:v>02_Konten/GIRO_2025-09.pdf</x:v>
      </x:c>
      <x:c r="I374" s="2" t="str"/>
      <x:c r="J374" s="2" t="str">
        <x:v>B0346</x:v>
      </x:c>
    </x:row>
    <x:row r="375" ht="35" customHeight="1">
      <x:c r="A375" s="2" t="str">
        <x:v>B0347</x:v>
      </x:c>
      <x:c r="B375" s="2" t="str">
        <x:v>GIRO</x:v>
      </x:c>
      <x:c r="C375" s="13" t="n">
        <x:v>45922</x:v>
      </x:c>
      <x:c r="D375" s="14" t="str">
        <x:v>SofaKino Digital GmbH</x:v>
      </x:c>
      <x:c r="E375" s="14" t="str">
        <x:v>Monatsabo SK-77380 / 2025-09</x:v>
      </x:c>
      <x:c r="F375" s="12" t="n">
        <x:v>-12.99</x:v>
      </x:c>
      <x:c r="G375" s="13" t="n">
        <x:v>45922</x:v>
      </x:c>
      <x:c r="H375" s="2" t="str">
        <x:v>02_Konten/GIRO_2025-09.pdf</x:v>
      </x:c>
      <x:c r="I375" s="2" t="str"/>
      <x:c r="J375" s="2" t="str">
        <x:v>B0347</x:v>
      </x:c>
    </x:row>
    <x:row r="376" ht="35" customHeight="1">
      <x:c r="A376" s="2" t="str">
        <x:v>B0353</x:v>
      </x:c>
      <x:c r="B376" s="2" t="str">
        <x:v>GIRO</x:v>
      </x:c>
      <x:c r="C376" s="13" t="n">
        <x:v>45922</x:v>
      </x:c>
      <x:c r="D376" s="14" t="str">
        <x:v>Adelheid Pfister Sparen</x:v>
      </x:c>
      <x:c r="E376" s="14" t="str">
        <x:v>Umbuchung auf eigenes Sparkonto</x:v>
      </x:c>
      <x:c r="F376" s="12" t="n">
        <x:v>-250</x:v>
      </x:c>
      <x:c r="G376" s="13" t="n">
        <x:v>45922</x:v>
      </x:c>
      <x:c r="H376" s="2" t="str">
        <x:v>02_Konten/GIRO_2025-09.pdf</x:v>
      </x:c>
      <x:c r="I376" s="2" t="str"/>
      <x:c r="J376" s="2" t="str">
        <x:v>B0353</x:v>
      </x:c>
    </x:row>
    <x:row r="377" ht="35" customHeight="1">
      <x:c r="A377" s="2" t="str">
        <x:v>B0354</x:v>
      </x:c>
      <x:c r="B377" s="2" t="str">
        <x:v>SPAR</x:v>
      </x:c>
      <x:c r="C377" s="13" t="n">
        <x:v>45922</x:v>
      </x:c>
      <x:c r="D377" s="14" t="str">
        <x:v>Adelheid Pfister Giro</x:v>
      </x:c>
      <x:c r="E377" s="14" t="str">
        <x:v>Umbuchung vom eigenen Girokonto</x:v>
      </x:c>
      <x:c r="F377" s="12" t="n">
        <x:v>250</x:v>
      </x:c>
      <x:c r="G377" s="13" t="n">
        <x:v>45922</x:v>
      </x:c>
      <x:c r="H377" s="2" t="str">
        <x:v>02_Konten/SPAR_2025-09.pdf</x:v>
      </x:c>
      <x:c r="I377" s="2" t="str"/>
      <x:c r="J377" s="2" t="str">
        <x:v>B0354</x:v>
      </x:c>
    </x:row>
    <x:row r="378" ht="35" customHeight="1">
      <x:c r="A378" s="2" t="str">
        <x:v>B0351</x:v>
      </x:c>
      <x:c r="B378" s="2" t="str">
        <x:v>GIRO</x:v>
      </x:c>
      <x:c r="C378" s="13" t="n">
        <x:v>45924</x:v>
      </x:c>
      <x:c r="D378" s="14" t="str">
        <x:v>Egon Knusper</x:v>
      </x:c>
      <x:c r="E378" s="14" t="str">
        <x:v>Pauschale Einkauf und Technik 2025-09</x:v>
      </x:c>
      <x:c r="F378" s="12" t="n">
        <x:v>-145</x:v>
      </x:c>
      <x:c r="G378" s="13" t="n">
        <x:v>45924</x:v>
      </x:c>
      <x:c r="H378" s="2" t="str">
        <x:v>02_Konten/GIRO_2025-09.pdf</x:v>
      </x:c>
      <x:c r="I378" s="2" t="str">
        <x:v>EK-2025-09</x:v>
      </x:c>
      <x:c r="J378" s="2" t="str">
        <x:v>B0351</x:v>
      </x:c>
    </x:row>
    <x:row r="379" ht="35" customHeight="1">
      <x:c r="A379" s="2" t="str">
        <x:v>B0348</x:v>
      </x:c>
      <x:c r="B379" s="2" t="str">
        <x:v>GIRO</x:v>
      </x:c>
      <x:c r="C379" s="13" t="n">
        <x:v>45926</x:v>
      </x:c>
      <x:c r="D379" s="14" t="str">
        <x:v>Fensterbank Spree eG</x:v>
      </x:c>
      <x:c r="E379" s="14" t="str">
        <x:v>Kontoführung 2025-09</x:v>
      </x:c>
      <x:c r="F379" s="12" t="n">
        <x:v>-6.9</x:v>
      </x:c>
      <x:c r="G379" s="13" t="n">
        <x:v>45926</x:v>
      </x:c>
      <x:c r="H379" s="2" t="str">
        <x:v>02_Konten/GIRO_2025-09.pdf</x:v>
      </x:c>
      <x:c r="I379" s="2" t="str"/>
      <x:c r="J379" s="2" t="str">
        <x:v>B0348</x:v>
      </x:c>
    </x:row>
    <x:row r="380" ht="35" customHeight="1">
      <x:c r="A380" s="2" t="str">
        <x:v>B0337</x:v>
      </x:c>
      <x:c r="B380" s="2" t="str">
        <x:v>GIRO</x:v>
      </x:c>
      <x:c r="C380" s="13" t="n">
        <x:v>45929</x:v>
      </x:c>
      <x:c r="D380" s="14" t="str">
        <x:v>Rentenstelle Nord</x:v>
      </x:c>
      <x:c r="E380" s="14" t="str">
        <x:v>Altersrente 2025-09</x:v>
      </x:c>
      <x:c r="F380" s="12" t="n">
        <x:v>2020</x:v>
      </x:c>
      <x:c r="G380" s="13" t="n">
        <x:v>45929</x:v>
      </x:c>
      <x:c r="H380" s="2" t="str">
        <x:v>02_Konten/GIRO_2025-09.pdf</x:v>
      </x:c>
      <x:c r="I380" s="2" t="str"/>
      <x:c r="J380" s="2" t="str">
        <x:v>B0337</x:v>
      </x:c>
    </x:row>
    <x:row r="381" ht="35" customHeight="1">
      <x:c r="A381" s="2" t="str">
        <x:v>B0338</x:v>
      </x:c>
      <x:c r="B381" s="2" t="str">
        <x:v>GIRO</x:v>
      </x:c>
      <x:c r="C381" s="13" t="n">
        <x:v>45929</x:v>
      </x:c>
      <x:c r="D381" s="14" t="str">
        <x:v>Rentenstelle Nord</x:v>
      </x:c>
      <x:c r="E381" s="14" t="str">
        <x:v>Hinterbliebenenrente 2025-09</x:v>
      </x:c>
      <x:c r="F381" s="12" t="n">
        <x:v>485</x:v>
      </x:c>
      <x:c r="G381" s="13" t="n">
        <x:v>45929</x:v>
      </x:c>
      <x:c r="H381" s="2" t="str">
        <x:v>02_Konten/GIRO_2025-09.pdf</x:v>
      </x:c>
      <x:c r="I381" s="2" t="str"/>
      <x:c r="J381" s="2" t="str">
        <x:v>B0338</x:v>
      </x:c>
    </x:row>
    <x:row r="382" ht="35" customHeight="1">
      <x:c r="A382" s="2" t="str">
        <x:v>B0357</x:v>
      </x:c>
      <x:c r="B382" s="2" t="str">
        <x:v>GIRO</x:v>
      </x:c>
      <x:c r="C382" s="13" t="n">
        <x:v>45933</x:v>
      </x:c>
      <x:c r="D382" s="14" t="str">
        <x:v>Hausverwaltung Lindenblatt KG</x:v>
      </x:c>
      <x:c r="E382" s="14" t="str">
        <x:v>Warmmiete Fliederbogen 17 / 2025-10</x:v>
      </x:c>
      <x:c r="F382" s="12" t="n">
        <x:v>-820</x:v>
      </x:c>
      <x:c r="G382" s="13" t="n">
        <x:v>45933</x:v>
      </x:c>
      <x:c r="H382" s="2" t="str">
        <x:v>02_Konten/GIRO_2025-10.pdf</x:v>
      </x:c>
      <x:c r="I382" s="2" t="str"/>
      <x:c r="J382" s="2" t="str">
        <x:v>B0357</x:v>
      </x:c>
    </x:row>
    <x:row r="383" ht="35" customHeight="1">
      <x:c r="A383" s="2" t="str">
        <x:v>B0358</x:v>
      </x:c>
      <x:c r="B383" s="2" t="str">
        <x:v>GIRO</x:v>
      </x:c>
      <x:c r="C383" s="13" t="n">
        <x:v>45936</x:v>
      </x:c>
      <x:c r="D383" s="14" t="str">
        <x:v>Nordlicht Energie Berlin GmbH</x:v>
      </x:c>
      <x:c r="E383" s="14" t="str">
        <x:v>Abschlag Kundennummer NE-48017 / 2025-10</x:v>
      </x:c>
      <x:c r="F383" s="12" t="n">
        <x:v>-79</x:v>
      </x:c>
      <x:c r="G383" s="13" t="n">
        <x:v>45936</x:v>
      </x:c>
      <x:c r="H383" s="2" t="str">
        <x:v>02_Konten/GIRO_2025-10.pdf</x:v>
      </x:c>
      <x:c r="I383" s="2" t="str"/>
      <x:c r="J383" s="2" t="str">
        <x:v>B0358</x:v>
      </x:c>
    </x:row>
    <x:row r="384" ht="35" customHeight="1">
      <x:c r="A384" s="2" t="str">
        <x:v>B0359</x:v>
      </x:c>
      <x:c r="B384" s="2" t="str">
        <x:v>GIRO</x:v>
      </x:c>
      <x:c r="C384" s="13" t="n">
        <x:v>45938</x:v>
      </x:c>
      <x:c r="D384" s="14" t="str">
        <x:v>Sprechfink Telekom GmbH</x:v>
      </x:c>
      <x:c r="E384" s="14" t="str">
        <x:v>Festnetz und Internet SP-118044 / 2025-10</x:v>
      </x:c>
      <x:c r="F384" s="12" t="n">
        <x:v>-44.99</x:v>
      </x:c>
      <x:c r="G384" s="13" t="n">
        <x:v>45938</x:v>
      </x:c>
      <x:c r="H384" s="2" t="str">
        <x:v>02_Konten/GIRO_2025-10.pdf</x:v>
      </x:c>
      <x:c r="I384" s="2" t="str">
        <x:v>TEL-2025-10</x:v>
      </x:c>
      <x:c r="J384" s="2" t="str">
        <x:v>B0359</x:v>
      </x:c>
    </x:row>
    <x:row r="385" ht="35" customHeight="1">
      <x:c r="A385" s="2" t="str">
        <x:v>B0367</x:v>
      </x:c>
      <x:c r="B385" s="2" t="str">
        <x:v>GIRO</x:v>
      </x:c>
      <x:c r="C385" s="13" t="n">
        <x:v>45939</x:v>
      </x:c>
      <x:c r="D385" s="14" t="str">
        <x:v>Glücksfenster Service GmbH</x:v>
      </x:c>
      <x:c r="E385" s="14" t="str">
        <x:v>Teilnahmeservice GF-90335 / 2025-10</x:v>
      </x:c>
      <x:c r="F385" s="12" t="n">
        <x:v>-29.9</x:v>
      </x:c>
      <x:c r="G385" s="13" t="n">
        <x:v>45939</x:v>
      </x:c>
      <x:c r="H385" s="2" t="str">
        <x:v>02_Konten/GIRO_2025-10.pdf</x:v>
      </x:c>
      <x:c r="I385" s="2" t="str"/>
      <x:c r="J385" s="2" t="str">
        <x:v>B0367</x:v>
      </x:c>
    </x:row>
    <x:row r="386" ht="35" customHeight="1">
      <x:c r="A386" s="2" t="str">
        <x:v>B0360</x:v>
      </x:c>
      <x:c r="B386" s="2" t="str">
        <x:v>GIRO</x:v>
      </x:c>
      <x:c r="C386" s="13" t="n">
        <x:v>45943</x:v>
      </x:c>
      <x:c r="D386" s="14" t="str">
        <x:v>Alltagshilfe Mohnblüte GmbH</x:v>
      </x:c>
      <x:c r="E386" s="14" t="str">
        <x:v>Haushaltshilfe Rechnung MH-2025-10</x:v>
      </x:c>
      <x:c r="F386" s="12" t="n">
        <x:v>-126.5</x:v>
      </x:c>
      <x:c r="G386" s="13" t="n">
        <x:v>45943</x:v>
      </x:c>
      <x:c r="H386" s="2" t="str">
        <x:v>02_Konten/GIRO_2025-10.pdf</x:v>
      </x:c>
      <x:c r="I386" s="2" t="str">
        <x:v>MH-2025-10</x:v>
      </x:c>
      <x:c r="J386" s="2" t="str">
        <x:v>B0360</x:v>
      </x:c>
    </x:row>
    <x:row r="387" ht="35" customHeight="1">
      <x:c r="A387" s="2" t="str">
        <x:v>B0368</x:v>
      </x:c>
      <x:c r="B387" s="2" t="str">
        <x:v>GIRO</x:v>
      </x:c>
      <x:c r="C387" s="13" t="n">
        <x:v>45943</x:v>
      </x:c>
      <x:c r="D387" s="14" t="str">
        <x:v>LebensKompass Direkt GmbH</x:v>
      </x:c>
      <x:c r="E387" s="14" t="str">
        <x:v>Digitalpaket LK-55771 / 2025-10</x:v>
      </x:c>
      <x:c r="F387" s="12" t="n">
        <x:v>-69.9</x:v>
      </x:c>
      <x:c r="G387" s="13" t="n">
        <x:v>45943</x:v>
      </x:c>
      <x:c r="H387" s="2" t="str">
        <x:v>02_Konten/GIRO_2025-10.pdf</x:v>
      </x:c>
      <x:c r="I387" s="2" t="str"/>
      <x:c r="J387" s="2" t="str">
        <x:v>B0368</x:v>
      </x:c>
    </x:row>
    <x:row r="388" ht="35" customHeight="1">
      <x:c r="A388" s="2" t="str">
        <x:v>B0361</x:v>
      </x:c>
      <x:c r="B388" s="2" t="str">
        <x:v>GIRO</x:v>
      </x:c>
      <x:c r="C388" s="13" t="n">
        <x:v>45944</x:v>
      </x:c>
      <x:c r="D388" s="14" t="str">
        <x:v>Frischemarkt Karow</x:v>
      </x:c>
      <x:c r="E388" s="14" t="str">
        <x:v>Kartenzahlung Lebensmittel, Belegserie FK 2025-10</x:v>
      </x:c>
      <x:c r="F388" s="12" t="n">
        <x:v>-247.88</x:v>
      </x:c>
      <x:c r="G388" s="13" t="n">
        <x:v>45944</x:v>
      </x:c>
      <x:c r="H388" s="2" t="str">
        <x:v>02_Konten/GIRO_2025-10.pdf</x:v>
      </x:c>
      <x:c r="I388" s="2" t="str"/>
      <x:c r="J388" s="2" t="str">
        <x:v>B0361</x:v>
      </x:c>
    </x:row>
    <x:row r="389" ht="35" customHeight="1">
      <x:c r="A389" s="2" t="str">
        <x:v>B0565</x:v>
      </x:c>
      <x:c r="B389" s="2" t="str">
        <x:v>GIRO</x:v>
      </x:c>
      <x:c r="C389" s="13" t="n">
        <x:v>45944</x:v>
      </x:c>
      <x:c r="D389" s="14" t="str">
        <x:v>Geldautomat Karow</x:v>
      </x:c>
      <x:c r="E389" s="14" t="str">
        <x:v>Bargeldauszahlung Karte 0441, Terminal KA-03</x:v>
      </x:c>
      <x:c r="F389" s="12" t="n">
        <x:v>-450</x:v>
      </x:c>
      <x:c r="G389" s="13" t="n">
        <x:v>45944</x:v>
      </x:c>
      <x:c r="H389" s="2" t="str">
        <x:v>02_Konten/GIRO_2025-10.pdf</x:v>
      </x:c>
      <x:c r="I389" s="2" t="str"/>
      <x:c r="J389" s="2" t="str">
        <x:v>B0565</x:v>
      </x:c>
    </x:row>
    <x:row r="390" ht="35" customHeight="1">
      <x:c r="A390" s="2" t="str">
        <x:v>B0362</x:v>
      </x:c>
      <x:c r="B390" s="2" t="str">
        <x:v>GIRO</x:v>
      </x:c>
      <x:c r="C390" s="13" t="n">
        <x:v>45945</x:v>
      </x:c>
      <x:c r="D390" s="14" t="str">
        <x:v>Apotheke Silberblatt</x:v>
      </x:c>
      <x:c r="E390" s="14" t="str">
        <x:v>Zuzahlung und Pflegebedarf 2025-10</x:v>
      </x:c>
      <x:c r="F390" s="12" t="n">
        <x:v>-33.62</x:v>
      </x:c>
      <x:c r="G390" s="13" t="n">
        <x:v>45945</x:v>
      </x:c>
      <x:c r="H390" s="2" t="str">
        <x:v>02_Konten/GIRO_2025-10.pdf</x:v>
      </x:c>
      <x:c r="I390" s="2" t="str">
        <x:v>AP-2025-10</x:v>
      </x:c>
      <x:c r="J390" s="2" t="str">
        <x:v>B0362</x:v>
      </x:c>
    </x:row>
    <x:row r="391" ht="35" customHeight="1">
      <x:c r="A391" s="2" t="str">
        <x:v>B0363</x:v>
      </x:c>
      <x:c r="B391" s="2" t="str">
        <x:v>GIRO</x:v>
      </x:c>
      <x:c r="C391" s="13" t="n">
        <x:v>45950</x:v>
      </x:c>
      <x:c r="D391" s="14" t="str">
        <x:v>Geldautomat Karow</x:v>
      </x:c>
      <x:c r="E391" s="14" t="str">
        <x:v>Bargeldauszahlung Karte 0441, Terminal KA-03</x:v>
      </x:c>
      <x:c r="F391" s="12" t="n">
        <x:v>-200</x:v>
      </x:c>
      <x:c r="G391" s="13" t="n">
        <x:v>45950</x:v>
      </x:c>
      <x:c r="H391" s="2" t="str">
        <x:v>02_Konten/GIRO_2025-10.pdf</x:v>
      </x:c>
      <x:c r="I391" s="2" t="str"/>
      <x:c r="J391" s="2" t="str">
        <x:v>B0363</x:v>
      </x:c>
    </x:row>
    <x:row r="392" ht="35" customHeight="1">
      <x:c r="A392" s="2" t="str">
        <x:v>B0364</x:v>
      </x:c>
      <x:c r="B392" s="2" t="str">
        <x:v>GIRO</x:v>
      </x:c>
      <x:c r="C392" s="13" t="n">
        <x:v>45950</x:v>
      </x:c>
      <x:c r="D392" s="14" t="str">
        <x:v>Tierladen Pfötchen</x:v>
      </x:c>
      <x:c r="E392" s="14" t="str">
        <x:v>Futter und Streu für Kater Mürbchen</x:v>
      </x:c>
      <x:c r="F392" s="12" t="n">
        <x:v>-48.5</x:v>
      </x:c>
      <x:c r="G392" s="13" t="n">
        <x:v>45950</x:v>
      </x:c>
      <x:c r="H392" s="2" t="str">
        <x:v>02_Konten/GIRO_2025-10.pdf</x:v>
      </x:c>
      <x:c r="I392" s="2" t="str"/>
      <x:c r="J392" s="2" t="str">
        <x:v>B0364</x:v>
      </x:c>
    </x:row>
    <x:row r="393" ht="35" customHeight="1">
      <x:c r="A393" s="2" t="str">
        <x:v>B0365</x:v>
      </x:c>
      <x:c r="B393" s="2" t="str">
        <x:v>GIRO</x:v>
      </x:c>
      <x:c r="C393" s="13" t="n">
        <x:v>45952</x:v>
      </x:c>
      <x:c r="D393" s="14" t="str">
        <x:v>SofaKino Digital GmbH</x:v>
      </x:c>
      <x:c r="E393" s="14" t="str">
        <x:v>Monatsabo SK-77380 / 2025-10</x:v>
      </x:c>
      <x:c r="F393" s="12" t="n">
        <x:v>-12.99</x:v>
      </x:c>
      <x:c r="G393" s="13" t="n">
        <x:v>45952</x:v>
      </x:c>
      <x:c r="H393" s="2" t="str">
        <x:v>02_Konten/GIRO_2025-10.pdf</x:v>
      </x:c>
      <x:c r="I393" s="2" t="str"/>
      <x:c r="J393" s="2" t="str">
        <x:v>B0365</x:v>
      </x:c>
    </x:row>
    <x:row r="394" ht="35" customHeight="1">
      <x:c r="A394" s="2" t="str">
        <x:v>B0369</x:v>
      </x:c>
      <x:c r="B394" s="2" t="str">
        <x:v>GIRO</x:v>
      </x:c>
      <x:c r="C394" s="13" t="n">
        <x:v>45954</x:v>
      </x:c>
      <x:c r="D394" s="14" t="str">
        <x:v>Egon Knusper</x:v>
      </x:c>
      <x:c r="E394" s="14" t="str">
        <x:v>Pauschale Einkauf und Technik 2025-10</x:v>
      </x:c>
      <x:c r="F394" s="12" t="n">
        <x:v>-145</x:v>
      </x:c>
      <x:c r="G394" s="13" t="n">
        <x:v>45954</x:v>
      </x:c>
      <x:c r="H394" s="2" t="str">
        <x:v>02_Konten/GIRO_2025-10.pdf</x:v>
      </x:c>
      <x:c r="I394" s="2" t="str">
        <x:v>EK-2025-10</x:v>
      </x:c>
      <x:c r="J394" s="2" t="str">
        <x:v>B0369</x:v>
      </x:c>
    </x:row>
    <x:row r="395" ht="35" customHeight="1">
      <x:c r="A395" s="2" t="str">
        <x:v>B0366</x:v>
      </x:c>
      <x:c r="B395" s="2" t="str">
        <x:v>GIRO</x:v>
      </x:c>
      <x:c r="C395" s="13" t="n">
        <x:v>45957</x:v>
      </x:c>
      <x:c r="D395" s="14" t="str">
        <x:v>Fensterbank Spree eG</x:v>
      </x:c>
      <x:c r="E395" s="14" t="str">
        <x:v>Kontoführung 2025-10</x:v>
      </x:c>
      <x:c r="F395" s="12" t="n">
        <x:v>-6.9</x:v>
      </x:c>
      <x:c r="G395" s="13" t="n">
        <x:v>45957</x:v>
      </x:c>
      <x:c r="H395" s="2" t="str">
        <x:v>02_Konten/GIRO_2025-10.pdf</x:v>
      </x:c>
      <x:c r="I395" s="2" t="str"/>
      <x:c r="J395" s="2" t="str">
        <x:v>B0366</x:v>
      </x:c>
    </x:row>
    <x:row r="396" ht="35" customHeight="1">
      <x:c r="A396" s="2" t="str">
        <x:v>B0355</x:v>
      </x:c>
      <x:c r="B396" s="2" t="str">
        <x:v>GIRO</x:v>
      </x:c>
      <x:c r="C396" s="13" t="n">
        <x:v>45958</x:v>
      </x:c>
      <x:c r="D396" s="14" t="str">
        <x:v>Rentenstelle Nord</x:v>
      </x:c>
      <x:c r="E396" s="14" t="str">
        <x:v>Altersrente 2025-10</x:v>
      </x:c>
      <x:c r="F396" s="12" t="n">
        <x:v>2020</x:v>
      </x:c>
      <x:c r="G396" s="13" t="n">
        <x:v>45958</x:v>
      </x:c>
      <x:c r="H396" s="2" t="str">
        <x:v>02_Konten/GIRO_2025-10.pdf</x:v>
      </x:c>
      <x:c r="I396" s="2" t="str"/>
      <x:c r="J396" s="2" t="str">
        <x:v>B0355</x:v>
      </x:c>
    </x:row>
    <x:row r="397" ht="35" customHeight="1">
      <x:c r="A397" s="2" t="str">
        <x:v>B0356</x:v>
      </x:c>
      <x:c r="B397" s="2" t="str">
        <x:v>GIRO</x:v>
      </x:c>
      <x:c r="C397" s="13" t="n">
        <x:v>45958</x:v>
      </x:c>
      <x:c r="D397" s="14" t="str">
        <x:v>Rentenstelle Nord</x:v>
      </x:c>
      <x:c r="E397" s="14" t="str">
        <x:v>Hinterbliebenenrente 2025-10</x:v>
      </x:c>
      <x:c r="F397" s="12" t="n">
        <x:v>485</x:v>
      </x:c>
      <x:c r="G397" s="13" t="n">
        <x:v>45958</x:v>
      </x:c>
      <x:c r="H397" s="2" t="str">
        <x:v>02_Konten/GIRO_2025-10.pdf</x:v>
      </x:c>
      <x:c r="I397" s="2" t="str"/>
      <x:c r="J397" s="2" t="str">
        <x:v>B0356</x:v>
      </x:c>
    </x:row>
    <x:row r="398" ht="35" customHeight="1">
      <x:c r="A398" s="2" t="str">
        <x:v>B0372</x:v>
      </x:c>
      <x:c r="B398" s="2" t="str">
        <x:v>GIRO</x:v>
      </x:c>
      <x:c r="C398" s="13" t="n">
        <x:v>45964</x:v>
      </x:c>
      <x:c r="D398" s="14" t="str">
        <x:v>Hausverwaltung Lindenblatt KG</x:v>
      </x:c>
      <x:c r="E398" s="14" t="str">
        <x:v>Warmmiete Fliederbogen 17 / 2025-11</x:v>
      </x:c>
      <x:c r="F398" s="12" t="n">
        <x:v>-820</x:v>
      </x:c>
      <x:c r="G398" s="13" t="n">
        <x:v>45964</x:v>
      </x:c>
      <x:c r="H398" s="2" t="str">
        <x:v>02_Konten/GIRO_2025-11.pdf</x:v>
      </x:c>
      <x:c r="I398" s="2" t="str"/>
      <x:c r="J398" s="2" t="str">
        <x:v>B0372</x:v>
      </x:c>
    </x:row>
    <x:row r="399" ht="35" customHeight="1">
      <x:c r="A399" s="2" t="str">
        <x:v>B0373</x:v>
      </x:c>
      <x:c r="B399" s="2" t="str">
        <x:v>GIRO</x:v>
      </x:c>
      <x:c r="C399" s="13" t="n">
        <x:v>45967</x:v>
      </x:c>
      <x:c r="D399" s="14" t="str">
        <x:v>Nordlicht Energie Berlin GmbH</x:v>
      </x:c>
      <x:c r="E399" s="14" t="str">
        <x:v>Abschlag Kundennummer NE-48017 / 2025-11</x:v>
      </x:c>
      <x:c r="F399" s="12" t="n">
        <x:v>-79</x:v>
      </x:c>
      <x:c r="G399" s="13" t="n">
        <x:v>45967</x:v>
      </x:c>
      <x:c r="H399" s="2" t="str">
        <x:v>02_Konten/GIRO_2025-11.pdf</x:v>
      </x:c>
      <x:c r="I399" s="2" t="str"/>
      <x:c r="J399" s="2" t="str">
        <x:v>B0373</x:v>
      </x:c>
    </x:row>
    <x:row r="400" ht="35" customHeight="1">
      <x:c r="A400" s="2" t="str">
        <x:v>B0566</x:v>
      </x:c>
      <x:c r="B400" s="2" t="str">
        <x:v>GIRO</x:v>
      </x:c>
      <x:c r="C400" s="13" t="n">
        <x:v>45967</x:v>
      </x:c>
      <x:c r="D400" s="14" t="str">
        <x:v>LebensKompass Direkt GmbH</x:v>
      </x:c>
      <x:c r="E400" s="14" t="str">
        <x:v>Digitalpaket LK-55771 / Nachbelastung 2025-10</x:v>
      </x:c>
      <x:c r="F400" s="12" t="n">
        <x:v>-69.9</x:v>
      </x:c>
      <x:c r="G400" s="13" t="n">
        <x:v>45967</x:v>
      </x:c>
      <x:c r="H400" s="2" t="str">
        <x:v>02_Konten/GIRO_2025-11.pdf</x:v>
      </x:c>
      <x:c r="I400" s="2" t="str"/>
      <x:c r="J400" s="2" t="str">
        <x:v>B0566</x:v>
      </x:c>
    </x:row>
    <x:row r="401" ht="35" customHeight="1">
      <x:c r="A401" s="2" t="str">
        <x:v>B0374</x:v>
      </x:c>
      <x:c r="B401" s="2" t="str">
        <x:v>GIRO</x:v>
      </x:c>
      <x:c r="C401" s="13" t="n">
        <x:v>45971</x:v>
      </x:c>
      <x:c r="D401" s="14" t="str">
        <x:v>Sprechfink Telekom GmbH</x:v>
      </x:c>
      <x:c r="E401" s="14" t="str">
        <x:v>Festnetz und Internet SP-118044 / 2025-11</x:v>
      </x:c>
      <x:c r="F401" s="12" t="n">
        <x:v>-44.99</x:v>
      </x:c>
      <x:c r="G401" s="13" t="n">
        <x:v>45971</x:v>
      </x:c>
      <x:c r="H401" s="2" t="str">
        <x:v>02_Konten/GIRO_2025-11.pdf</x:v>
      </x:c>
      <x:c r="I401" s="2" t="str">
        <x:v>TEL-2025-11</x:v>
      </x:c>
      <x:c r="J401" s="2" t="str">
        <x:v>B0374</x:v>
      </x:c>
    </x:row>
    <x:row r="402" ht="35" customHeight="1">
      <x:c r="A402" s="2" t="str">
        <x:v>B0382</x:v>
      </x:c>
      <x:c r="B402" s="2" t="str">
        <x:v>GIRO</x:v>
      </x:c>
      <x:c r="C402" s="13" t="n">
        <x:v>45971</x:v>
      </x:c>
      <x:c r="D402" s="14" t="str">
        <x:v>Glücksfenster Service GmbH</x:v>
      </x:c>
      <x:c r="E402" s="14" t="str">
        <x:v>Teilnahmeservice GF-90335 / 2025-11</x:v>
      </x:c>
      <x:c r="F402" s="12" t="n">
        <x:v>-29.9</x:v>
      </x:c>
      <x:c r="G402" s="13" t="n">
        <x:v>45971</x:v>
      </x:c>
      <x:c r="H402" s="2" t="str">
        <x:v>02_Konten/GIRO_2025-11.pdf</x:v>
      </x:c>
      <x:c r="I402" s="2" t="str"/>
      <x:c r="J402" s="2" t="str">
        <x:v>B0382</x:v>
      </x:c>
    </x:row>
    <x:row r="403" ht="35" customHeight="1">
      <x:c r="A403" s="2" t="str">
        <x:v>B0383</x:v>
      </x:c>
      <x:c r="B403" s="2" t="str">
        <x:v>GIRO</x:v>
      </x:c>
      <x:c r="C403" s="13" t="n">
        <x:v>45972</x:v>
      </x:c>
      <x:c r="D403" s="14" t="str">
        <x:v>LebensKompass Direkt GmbH</x:v>
      </x:c>
      <x:c r="E403" s="14" t="str">
        <x:v>Digitalpaket LK-55771 / 2025-11</x:v>
      </x:c>
      <x:c r="F403" s="12" t="n">
        <x:v>-69.9</x:v>
      </x:c>
      <x:c r="G403" s="13" t="n">
        <x:v>45972</x:v>
      </x:c>
      <x:c r="H403" s="2" t="str">
        <x:v>02_Konten/GIRO_2025-11.pdf</x:v>
      </x:c>
      <x:c r="I403" s="2" t="str"/>
      <x:c r="J403" s="2" t="str">
        <x:v>B0383</x:v>
      </x:c>
    </x:row>
    <x:row r="404" ht="35" customHeight="1">
      <x:c r="A404" s="2" t="str">
        <x:v>B0375</x:v>
      </x:c>
      <x:c r="B404" s="2" t="str">
        <x:v>GIRO</x:v>
      </x:c>
      <x:c r="C404" s="13" t="n">
        <x:v>45973</x:v>
      </x:c>
      <x:c r="D404" s="14" t="str">
        <x:v>Alltagshilfe Mohnblüte GmbH</x:v>
      </x:c>
      <x:c r="E404" s="14" t="str">
        <x:v>Haushaltshilfe Rechnung MH-2025-11</x:v>
      </x:c>
      <x:c r="F404" s="12" t="n">
        <x:v>-126.5</x:v>
      </x:c>
      <x:c r="G404" s="13" t="n">
        <x:v>45973</x:v>
      </x:c>
      <x:c r="H404" s="2" t="str">
        <x:v>02_Konten/GIRO_2025-11.pdf</x:v>
      </x:c>
      <x:c r="I404" s="2" t="str">
        <x:v>MH-2025-11</x:v>
      </x:c>
      <x:c r="J404" s="2" t="str">
        <x:v>B0375</x:v>
      </x:c>
    </x:row>
    <x:row r="405" ht="35" customHeight="1">
      <x:c r="A405" s="2" t="str">
        <x:v>B0376</x:v>
      </x:c>
      <x:c r="B405" s="2" t="str">
        <x:v>GIRO</x:v>
      </x:c>
      <x:c r="C405" s="13" t="n">
        <x:v>45975</x:v>
      </x:c>
      <x:c r="D405" s="14" t="str">
        <x:v>Frischemarkt Karow</x:v>
      </x:c>
      <x:c r="E405" s="14" t="str">
        <x:v>Kartenzahlung Lebensmittel, Belegserie FK 2025-11</x:v>
      </x:c>
      <x:c r="F405" s="12" t="n">
        <x:v>-249.25</x:v>
      </x:c>
      <x:c r="G405" s="13" t="n">
        <x:v>45975</x:v>
      </x:c>
      <x:c r="H405" s="2" t="str">
        <x:v>02_Konten/GIRO_2025-11.pdf</x:v>
      </x:c>
      <x:c r="I405" s="2" t="str"/>
      <x:c r="J405" s="2" t="str">
        <x:v>B0376</x:v>
      </x:c>
    </x:row>
    <x:row r="406" ht="35" customHeight="1">
      <x:c r="A406" s="2" t="str">
        <x:v>B0377</x:v>
      </x:c>
      <x:c r="B406" s="2" t="str">
        <x:v>GIRO</x:v>
      </x:c>
      <x:c r="C406" s="13" t="n">
        <x:v>45978</x:v>
      </x:c>
      <x:c r="D406" s="14" t="str">
        <x:v>Apotheke Silberblatt</x:v>
      </x:c>
      <x:c r="E406" s="14" t="str">
        <x:v>Zuzahlung und Pflegebedarf 2025-11</x:v>
      </x:c>
      <x:c r="F406" s="12" t="n">
        <x:v>-34.75</x:v>
      </x:c>
      <x:c r="G406" s="13" t="n">
        <x:v>45978</x:v>
      </x:c>
      <x:c r="H406" s="2" t="str">
        <x:v>02_Konten/GIRO_2025-11.pdf</x:v>
      </x:c>
      <x:c r="I406" s="2" t="str"/>
      <x:c r="J406" s="2" t="str">
        <x:v>B0377</x:v>
      </x:c>
    </x:row>
    <x:row r="407" ht="35" customHeight="1">
      <x:c r="A407" s="2" t="str">
        <x:v>B0378</x:v>
      </x:c>
      <x:c r="B407" s="2" t="str">
        <x:v>GIRO</x:v>
      </x:c>
      <x:c r="C407" s="13" t="n">
        <x:v>45979</x:v>
      </x:c>
      <x:c r="D407" s="14" t="str">
        <x:v>Geldautomat Karow</x:v>
      </x:c>
      <x:c r="E407" s="14" t="str">
        <x:v>Bargeldauszahlung Karte 0441, Terminal KA-03</x:v>
      </x:c>
      <x:c r="F407" s="12" t="n">
        <x:v>-200</x:v>
      </x:c>
      <x:c r="G407" s="13" t="n">
        <x:v>45979</x:v>
      </x:c>
      <x:c r="H407" s="2" t="str">
        <x:v>02_Konten/GIRO_2025-11.pdf</x:v>
      </x:c>
      <x:c r="I407" s="2" t="str"/>
      <x:c r="J407" s="2" t="str">
        <x:v>B0378</x:v>
      </x:c>
    </x:row>
    <x:row r="408" ht="35" customHeight="1">
      <x:c r="A408" s="2" t="str">
        <x:v>B0379</x:v>
      </x:c>
      <x:c r="B408" s="2" t="str">
        <x:v>GIRO</x:v>
      </x:c>
      <x:c r="C408" s="13" t="n">
        <x:v>45981</x:v>
      </x:c>
      <x:c r="D408" s="14" t="str">
        <x:v>Tierladen Pfötchen</x:v>
      </x:c>
      <x:c r="E408" s="14" t="str">
        <x:v>Futter und Streu für Kater Mürbchen</x:v>
      </x:c>
      <x:c r="F408" s="12" t="n">
        <x:v>-48.5</x:v>
      </x:c>
      <x:c r="G408" s="13" t="n">
        <x:v>45981</x:v>
      </x:c>
      <x:c r="H408" s="2" t="str">
        <x:v>02_Konten/GIRO_2025-11.pdf</x:v>
      </x:c>
      <x:c r="I408" s="2" t="str"/>
      <x:c r="J408" s="2" t="str">
        <x:v>B0379</x:v>
      </x:c>
    </x:row>
    <x:row r="409" ht="35" customHeight="1">
      <x:c r="A409" s="2" t="str">
        <x:v>B0567</x:v>
      </x:c>
      <x:c r="B409" s="2" t="str">
        <x:v>GIRO</x:v>
      </x:c>
      <x:c r="C409" s="13" t="n">
        <x:v>45982</x:v>
      </x:c>
      <x:c r="D409" s="14" t="str">
        <x:v>LebensKompass Direkt GmbH</x:v>
      </x:c>
      <x:c r="E409" s="14" t="str">
        <x:v>Storno doppelte Abbuchung Oktober</x:v>
      </x:c>
      <x:c r="F409" s="12" t="n">
        <x:v>69.9</x:v>
      </x:c>
      <x:c r="G409" s="13" t="n">
        <x:v>45982</x:v>
      </x:c>
      <x:c r="H409" s="2" t="str">
        <x:v>02_Konten/GIRO_2025-11.pdf</x:v>
      </x:c>
      <x:c r="I409" s="2" t="str"/>
      <x:c r="J409" s="2" t="str">
        <x:v>B0567</x:v>
      </x:c>
    </x:row>
    <x:row r="410" ht="35" customHeight="1">
      <x:c r="A410" s="2" t="str">
        <x:v>B0380</x:v>
      </x:c>
      <x:c r="B410" s="2" t="str">
        <x:v>GIRO</x:v>
      </x:c>
      <x:c r="C410" s="13" t="n">
        <x:v>45985</x:v>
      </x:c>
      <x:c r="D410" s="14" t="str">
        <x:v>SofaKino Digital GmbH</x:v>
      </x:c>
      <x:c r="E410" s="14" t="str">
        <x:v>Monatsabo SK-77380 / 2025-11</x:v>
      </x:c>
      <x:c r="F410" s="12" t="n">
        <x:v>-12.99</x:v>
      </x:c>
      <x:c r="G410" s="13" t="n">
        <x:v>45985</x:v>
      </x:c>
      <x:c r="H410" s="2" t="str">
        <x:v>02_Konten/GIRO_2025-11.pdf</x:v>
      </x:c>
      <x:c r="I410" s="2" t="str"/>
      <x:c r="J410" s="2" t="str">
        <x:v>B0380</x:v>
      </x:c>
    </x:row>
    <x:row r="411" ht="35" customHeight="1">
      <x:c r="A411" s="2" t="str">
        <x:v>B0384</x:v>
      </x:c>
      <x:c r="B411" s="2" t="str">
        <x:v>GIRO</x:v>
      </x:c>
      <x:c r="C411" s="13" t="n">
        <x:v>45985</x:v>
      </x:c>
      <x:c r="D411" s="14" t="str">
        <x:v>Egon Knusper</x:v>
      </x:c>
      <x:c r="E411" s="14" t="str">
        <x:v>Pauschale Einkauf und Technik 2025-11</x:v>
      </x:c>
      <x:c r="F411" s="12" t="n">
        <x:v>-145</x:v>
      </x:c>
      <x:c r="G411" s="13" t="n">
        <x:v>45985</x:v>
      </x:c>
      <x:c r="H411" s="2" t="str">
        <x:v>02_Konten/GIRO_2025-11.pdf</x:v>
      </x:c>
      <x:c r="I411" s="2" t="str">
        <x:v>EK-2025-11</x:v>
      </x:c>
      <x:c r="J411" s="2" t="str">
        <x:v>B0384</x:v>
      </x:c>
    </x:row>
    <x:row r="412" ht="35" customHeight="1">
      <x:c r="A412" s="2" t="str">
        <x:v>B0381</x:v>
      </x:c>
      <x:c r="B412" s="2" t="str">
        <x:v>GIRO</x:v>
      </x:c>
      <x:c r="C412" s="13" t="n">
        <x:v>45987</x:v>
      </x:c>
      <x:c r="D412" s="14" t="str">
        <x:v>Fensterbank Spree eG</x:v>
      </x:c>
      <x:c r="E412" s="14" t="str">
        <x:v>Kontoführung 2025-11</x:v>
      </x:c>
      <x:c r="F412" s="12" t="n">
        <x:v>-6.9</x:v>
      </x:c>
      <x:c r="G412" s="13" t="n">
        <x:v>45987</x:v>
      </x:c>
      <x:c r="H412" s="2" t="str">
        <x:v>02_Konten/GIRO_2025-11.pdf</x:v>
      </x:c>
      <x:c r="I412" s="2" t="str"/>
      <x:c r="J412" s="2" t="str">
        <x:v>B0381</x:v>
      </x:c>
    </x:row>
    <x:row r="413" ht="35" customHeight="1">
      <x:c r="A413" s="2" t="str">
        <x:v>B0370</x:v>
      </x:c>
      <x:c r="B413" s="2" t="str">
        <x:v>GIRO</x:v>
      </x:c>
      <x:c r="C413" s="13" t="n">
        <x:v>45989</x:v>
      </x:c>
      <x:c r="D413" s="14" t="str">
        <x:v>Rentenstelle Nord</x:v>
      </x:c>
      <x:c r="E413" s="14" t="str">
        <x:v>Altersrente 2025-11</x:v>
      </x:c>
      <x:c r="F413" s="12" t="n">
        <x:v>2020</x:v>
      </x:c>
      <x:c r="G413" s="13" t="n">
        <x:v>45989</x:v>
      </x:c>
      <x:c r="H413" s="2" t="str">
        <x:v>02_Konten/GIRO_2025-11.pdf</x:v>
      </x:c>
      <x:c r="I413" s="2" t="str"/>
      <x:c r="J413" s="2" t="str">
        <x:v>B0370</x:v>
      </x:c>
    </x:row>
    <x:row r="414" ht="35" customHeight="1">
      <x:c r="A414" s="2" t="str">
        <x:v>B0371</x:v>
      </x:c>
      <x:c r="B414" s="2" t="str">
        <x:v>GIRO</x:v>
      </x:c>
      <x:c r="C414" s="13" t="n">
        <x:v>45989</x:v>
      </x:c>
      <x:c r="D414" s="14" t="str">
        <x:v>Rentenstelle Nord</x:v>
      </x:c>
      <x:c r="E414" s="14" t="str">
        <x:v>Hinterbliebenenrente 2025-11</x:v>
      </x:c>
      <x:c r="F414" s="12" t="n">
        <x:v>485</x:v>
      </x:c>
      <x:c r="G414" s="13" t="n">
        <x:v>45989</x:v>
      </x:c>
      <x:c r="H414" s="2" t="str">
        <x:v>02_Konten/GIRO_2025-11.pdf</x:v>
      </x:c>
      <x:c r="I414" s="2" t="str"/>
      <x:c r="J414" s="2" t="str">
        <x:v>B0371</x:v>
      </x:c>
    </x:row>
    <x:row r="415" ht="35" customHeight="1">
      <x:c r="A415" s="2" t="str">
        <x:v>B0387</x:v>
      </x:c>
      <x:c r="B415" s="2" t="str">
        <x:v>GIRO</x:v>
      </x:c>
      <x:c r="C415" s="13" t="n">
        <x:v>45994</x:v>
      </x:c>
      <x:c r="D415" s="14" t="str">
        <x:v>Hausverwaltung Lindenblatt KG</x:v>
      </x:c>
      <x:c r="E415" s="14" t="str">
        <x:v>Warmmiete Fliederbogen 17 / 2025-12</x:v>
      </x:c>
      <x:c r="F415" s="12" t="n">
        <x:v>-820</x:v>
      </x:c>
      <x:c r="G415" s="13" t="n">
        <x:v>45994</x:v>
      </x:c>
      <x:c r="H415" s="2" t="str">
        <x:v>02_Konten/GIRO_2025-12.pdf</x:v>
      </x:c>
      <x:c r="I415" s="2" t="str"/>
      <x:c r="J415" s="2" t="str">
        <x:v>B0387</x:v>
      </x:c>
    </x:row>
    <x:row r="416" ht="35" customHeight="1">
      <x:c r="A416" s="2" t="str">
        <x:v>B0388</x:v>
      </x:c>
      <x:c r="B416" s="2" t="str">
        <x:v>GIRO</x:v>
      </x:c>
      <x:c r="C416" s="13" t="n">
        <x:v>45999</x:v>
      </x:c>
      <x:c r="D416" s="14" t="str">
        <x:v>Nordlicht Energie Berlin GmbH</x:v>
      </x:c>
      <x:c r="E416" s="14" t="str">
        <x:v>Abschlag Kundennummer NE-48017 / 2025-12</x:v>
      </x:c>
      <x:c r="F416" s="12" t="n">
        <x:v>-79</x:v>
      </x:c>
      <x:c r="G416" s="13" t="n">
        <x:v>45999</x:v>
      </x:c>
      <x:c r="H416" s="2" t="str">
        <x:v>02_Konten/GIRO_2025-12.pdf</x:v>
      </x:c>
      <x:c r="I416" s="2" t="str"/>
      <x:c r="J416" s="2" t="str">
        <x:v>B0388</x:v>
      </x:c>
    </x:row>
    <x:row r="417" ht="35" customHeight="1">
      <x:c r="A417" s="2" t="str">
        <x:v>B0389</x:v>
      </x:c>
      <x:c r="B417" s="2" t="str">
        <x:v>GIRO</x:v>
      </x:c>
      <x:c r="C417" s="13" t="n">
        <x:v>45999</x:v>
      </x:c>
      <x:c r="D417" s="14" t="str">
        <x:v>Sprechfink Telekom GmbH</x:v>
      </x:c>
      <x:c r="E417" s="14" t="str">
        <x:v>Festnetz und Internet SP-118044 / 2025-12</x:v>
      </x:c>
      <x:c r="F417" s="12" t="n">
        <x:v>-44.99</x:v>
      </x:c>
      <x:c r="G417" s="13" t="n">
        <x:v>45999</x:v>
      </x:c>
      <x:c r="H417" s="2" t="str">
        <x:v>02_Konten/GIRO_2025-12.pdf</x:v>
      </x:c>
      <x:c r="I417" s="2" t="str">
        <x:v>TEL-2025-12</x:v>
      </x:c>
      <x:c r="J417" s="2" t="str">
        <x:v>B0389</x:v>
      </x:c>
    </x:row>
    <x:row r="418" ht="35" customHeight="1">
      <x:c r="A418" s="2" t="str">
        <x:v>B0397</x:v>
      </x:c>
      <x:c r="B418" s="2" t="str">
        <x:v>GIRO</x:v>
      </x:c>
      <x:c r="C418" s="13" t="n">
        <x:v>46000</x:v>
      </x:c>
      <x:c r="D418" s="14" t="str">
        <x:v>Glücksfenster Service GmbH</x:v>
      </x:c>
      <x:c r="E418" s="14" t="str">
        <x:v>Teilnahmeservice GF-90335 / 2025-12</x:v>
      </x:c>
      <x:c r="F418" s="12" t="n">
        <x:v>-29.9</x:v>
      </x:c>
      <x:c r="G418" s="13" t="n">
        <x:v>46000</x:v>
      </x:c>
      <x:c r="H418" s="2" t="str">
        <x:v>02_Konten/GIRO_2025-12.pdf</x:v>
      </x:c>
      <x:c r="I418" s="2" t="str"/>
      <x:c r="J418" s="2" t="str">
        <x:v>B0397</x:v>
      </x:c>
    </x:row>
    <x:row r="419" ht="35" customHeight="1">
      <x:c r="A419" s="2" t="str">
        <x:v>B0398</x:v>
      </x:c>
      <x:c r="B419" s="2" t="str">
        <x:v>GIRO</x:v>
      </x:c>
      <x:c r="C419" s="13" t="n">
        <x:v>46002</x:v>
      </x:c>
      <x:c r="D419" s="14" t="str">
        <x:v>LebensKompass Direkt GmbH</x:v>
      </x:c>
      <x:c r="E419" s="14" t="str">
        <x:v>Digitalpaket LK-55771 / 2025-12</x:v>
      </x:c>
      <x:c r="F419" s="12" t="n">
        <x:v>-69.9</x:v>
      </x:c>
      <x:c r="G419" s="13" t="n">
        <x:v>46002</x:v>
      </x:c>
      <x:c r="H419" s="2" t="str">
        <x:v>02_Konten/GIRO_2025-12.pdf</x:v>
      </x:c>
      <x:c r="I419" s="2" t="str"/>
      <x:c r="J419" s="2" t="str">
        <x:v>B0398</x:v>
      </x:c>
    </x:row>
    <x:row r="420" ht="35" customHeight="1">
      <x:c r="A420" s="2" t="str">
        <x:v>B0568</x:v>
      </x:c>
      <x:c r="B420" s="2" t="str">
        <x:v>GIRO</x:v>
      </x:c>
      <x:c r="C420" s="13" t="n">
        <x:v>46002</x:v>
      </x:c>
      <x:c r="D420" s="14" t="str">
        <x:v>Hausverwaltung Lindenblatt KG</x:v>
      </x:c>
      <x:c r="E420" s="14" t="str">
        <x:v>Betriebskostennachzahlung 2024 HV-24</x:v>
      </x:c>
      <x:c r="F420" s="12" t="n">
        <x:v>-410</x:v>
      </x:c>
      <x:c r="G420" s="13" t="n">
        <x:v>46002</x:v>
      </x:c>
      <x:c r="H420" s="2" t="str">
        <x:v>02_Konten/GIRO_2025-12.pdf</x:v>
      </x:c>
      <x:c r="I420" s="2" t="str">
        <x:v>HV-24</x:v>
      </x:c>
      <x:c r="J420" s="2" t="str">
        <x:v>B0568</x:v>
      </x:c>
    </x:row>
    <x:row r="421" ht="35" customHeight="1">
      <x:c r="A421" s="2" t="str">
        <x:v>B0390</x:v>
      </x:c>
      <x:c r="B421" s="2" t="str">
        <x:v>GIRO</x:v>
      </x:c>
      <x:c r="C421" s="13" t="n">
        <x:v>46003</x:v>
      </x:c>
      <x:c r="D421" s="14" t="str">
        <x:v>Alltagshilfe Mohnblüte GmbH</x:v>
      </x:c>
      <x:c r="E421" s="14" t="str">
        <x:v>Haushaltshilfe Rechnung MH-2025-12</x:v>
      </x:c>
      <x:c r="F421" s="12" t="n">
        <x:v>-126.5</x:v>
      </x:c>
      <x:c r="G421" s="13" t="n">
        <x:v>46003</x:v>
      </x:c>
      <x:c r="H421" s="2" t="str">
        <x:v>02_Konten/GIRO_2025-12.pdf</x:v>
      </x:c>
      <x:c r="I421" s="2" t="str">
        <x:v>MH-2025-12</x:v>
      </x:c>
      <x:c r="J421" s="2" t="str">
        <x:v>B0390</x:v>
      </x:c>
    </x:row>
    <x:row r="422" ht="35" customHeight="1">
      <x:c r="A422" s="2" t="str">
        <x:v>B0391</x:v>
      </x:c>
      <x:c r="B422" s="2" t="str">
        <x:v>GIRO</x:v>
      </x:c>
      <x:c r="C422" s="13" t="n">
        <x:v>46006</x:v>
      </x:c>
      <x:c r="D422" s="14" t="str">
        <x:v>Frischemarkt Karow</x:v>
      </x:c>
      <x:c r="E422" s="14" t="str">
        <x:v>Kartenzahlung Lebensmittel, Belegserie FK 2025-12</x:v>
      </x:c>
      <x:c r="F422" s="12" t="n">
        <x:v>-250.62</x:v>
      </x:c>
      <x:c r="G422" s="13" t="n">
        <x:v>46006</x:v>
      </x:c>
      <x:c r="H422" s="2" t="str">
        <x:v>02_Konten/GIRO_2025-12.pdf</x:v>
      </x:c>
      <x:c r="I422" s="2" t="str"/>
      <x:c r="J422" s="2" t="str">
        <x:v>B0391</x:v>
      </x:c>
    </x:row>
    <x:row r="423" ht="35" customHeight="1">
      <x:c r="A423" s="2" t="str">
        <x:v>B0392</x:v>
      </x:c>
      <x:c r="B423" s="2" t="str">
        <x:v>GIRO</x:v>
      </x:c>
      <x:c r="C423" s="13" t="n">
        <x:v>46006</x:v>
      </x:c>
      <x:c r="D423" s="14" t="str">
        <x:v>Apotheke Silberblatt</x:v>
      </x:c>
      <x:c r="E423" s="14" t="str">
        <x:v>Zuzahlung und Pflegebedarf 2025-12</x:v>
      </x:c>
      <x:c r="F423" s="12" t="n">
        <x:v>-35.88</x:v>
      </x:c>
      <x:c r="G423" s="13" t="n">
        <x:v>46006</x:v>
      </x:c>
      <x:c r="H423" s="2" t="str">
        <x:v>02_Konten/GIRO_2025-12.pdf</x:v>
      </x:c>
      <x:c r="I423" s="2" t="str"/>
      <x:c r="J423" s="2" t="str">
        <x:v>B0392</x:v>
      </x:c>
    </x:row>
    <x:row r="424" ht="35" customHeight="1">
      <x:c r="A424" s="2" t="str">
        <x:v>B0393</x:v>
      </x:c>
      <x:c r="B424" s="2" t="str">
        <x:v>GIRO</x:v>
      </x:c>
      <x:c r="C424" s="13" t="n">
        <x:v>46009</x:v>
      </x:c>
      <x:c r="D424" s="14" t="str">
        <x:v>Geldautomat Karow</x:v>
      </x:c>
      <x:c r="E424" s="14" t="str">
        <x:v>Bargeldauszahlung Karte 0441, Terminal KA-03</x:v>
      </x:c>
      <x:c r="F424" s="12" t="n">
        <x:v>-200</x:v>
      </x:c>
      <x:c r="G424" s="13" t="n">
        <x:v>46009</x:v>
      </x:c>
      <x:c r="H424" s="2" t="str">
        <x:v>02_Konten/GIRO_2025-12.pdf</x:v>
      </x:c>
      <x:c r="I424" s="2" t="str"/>
      <x:c r="J424" s="2" t="str">
        <x:v>B0393</x:v>
      </x:c>
    </x:row>
    <x:row r="425" ht="35" customHeight="1">
      <x:c r="A425" s="2" t="str">
        <x:v>B0400</x:v>
      </x:c>
      <x:c r="B425" s="2" t="str">
        <x:v>GIRO</x:v>
      </x:c>
      <x:c r="C425" s="13" t="n">
        <x:v>46010</x:v>
      </x:c>
      <x:c r="D425" s="14" t="str">
        <x:v>Kirchengemeinde Am Fliederbogen</x:v>
      </x:c>
      <x:c r="E425" s="14" t="str">
        <x:v>Gemeindespende</x:v>
      </x:c>
      <x:c r="F425" s="12" t="n">
        <x:v>-15</x:v>
      </x:c>
      <x:c r="G425" s="13" t="n">
        <x:v>46010</x:v>
      </x:c>
      <x:c r="H425" s="2" t="str">
        <x:v>02_Konten/GIRO_2025-12.pdf</x:v>
      </x:c>
      <x:c r="I425" s="2" t="str"/>
      <x:c r="J425" s="2" t="str">
        <x:v>B0400</x:v>
      </x:c>
    </x:row>
    <x:row r="426" ht="35" customHeight="1">
      <x:c r="A426" s="2" t="str">
        <x:v>B0394</x:v>
      </x:c>
      <x:c r="B426" s="2" t="str">
        <x:v>GIRO</x:v>
      </x:c>
      <x:c r="C426" s="13" t="n">
        <x:v>46013</x:v>
      </x:c>
      <x:c r="D426" s="14" t="str">
        <x:v>Tierladen Pfötchen</x:v>
      </x:c>
      <x:c r="E426" s="14" t="str">
        <x:v>Futter und Streu für Kater Mürbchen</x:v>
      </x:c>
      <x:c r="F426" s="12" t="n">
        <x:v>-48.5</x:v>
      </x:c>
      <x:c r="G426" s="13" t="n">
        <x:v>46013</x:v>
      </x:c>
      <x:c r="H426" s="2" t="str">
        <x:v>02_Konten/GIRO_2025-12.pdf</x:v>
      </x:c>
      <x:c r="I426" s="2" t="str"/>
      <x:c r="J426" s="2" t="str">
        <x:v>B0394</x:v>
      </x:c>
    </x:row>
    <x:row r="427" ht="35" customHeight="1">
      <x:c r="A427" s="2" t="str">
        <x:v>B0395</x:v>
      </x:c>
      <x:c r="B427" s="2" t="str">
        <x:v>GIRO</x:v>
      </x:c>
      <x:c r="C427" s="13" t="n">
        <x:v>46013</x:v>
      </x:c>
      <x:c r="D427" s="14" t="str">
        <x:v>SofaKino Digital GmbH</x:v>
      </x:c>
      <x:c r="E427" s="14" t="str">
        <x:v>Monatsabo SK-77380 / 2025-12</x:v>
      </x:c>
      <x:c r="F427" s="12" t="n">
        <x:v>-12.99</x:v>
      </x:c>
      <x:c r="G427" s="13" t="n">
        <x:v>46013</x:v>
      </x:c>
      <x:c r="H427" s="2" t="str">
        <x:v>02_Konten/GIRO_2025-12.pdf</x:v>
      </x:c>
      <x:c r="I427" s="2" t="str"/>
      <x:c r="J427" s="2" t="str">
        <x:v>B0395</x:v>
      </x:c>
    </x:row>
    <x:row r="428" ht="35" customHeight="1">
      <x:c r="A428" s="2" t="str">
        <x:v>B0401</x:v>
      </x:c>
      <x:c r="B428" s="2" t="str">
        <x:v>GIRO</x:v>
      </x:c>
      <x:c r="C428" s="13" t="n">
        <x:v>46013</x:v>
      </x:c>
      <x:c r="D428" s="14" t="str">
        <x:v>Adelheid Pfister Sparen</x:v>
      </x:c>
      <x:c r="E428" s="14" t="str">
        <x:v>Umbuchung auf eigenes Sparkonto</x:v>
      </x:c>
      <x:c r="F428" s="12" t="n">
        <x:v>-250</x:v>
      </x:c>
      <x:c r="G428" s="13" t="n">
        <x:v>46013</x:v>
      </x:c>
      <x:c r="H428" s="2" t="str">
        <x:v>02_Konten/GIRO_2025-12.pdf</x:v>
      </x:c>
      <x:c r="I428" s="2" t="str"/>
      <x:c r="J428" s="2" t="str">
        <x:v>B0401</x:v>
      </x:c>
    </x:row>
    <x:row r="429" ht="35" customHeight="1">
      <x:c r="A429" s="2" t="str">
        <x:v>B0402</x:v>
      </x:c>
      <x:c r="B429" s="2" t="str">
        <x:v>SPAR</x:v>
      </x:c>
      <x:c r="C429" s="13" t="n">
        <x:v>46013</x:v>
      </x:c>
      <x:c r="D429" s="14" t="str">
        <x:v>Adelheid Pfister Giro</x:v>
      </x:c>
      <x:c r="E429" s="14" t="str">
        <x:v>Umbuchung vom eigenen Girokonto</x:v>
      </x:c>
      <x:c r="F429" s="12" t="n">
        <x:v>250</x:v>
      </x:c>
      <x:c r="G429" s="13" t="n">
        <x:v>46013</x:v>
      </x:c>
      <x:c r="H429" s="2" t="str">
        <x:v>02_Konten/SPAR_2025-12.pdf</x:v>
      </x:c>
      <x:c r="I429" s="2" t="str"/>
      <x:c r="J429" s="2" t="str">
        <x:v>B0402</x:v>
      </x:c>
    </x:row>
    <x:row r="430" ht="35" customHeight="1">
      <x:c r="A430" s="2" t="str">
        <x:v>B0399</x:v>
      </x:c>
      <x:c r="B430" s="2" t="str">
        <x:v>GIRO</x:v>
      </x:c>
      <x:c r="C430" s="13" t="n">
        <x:v>46015</x:v>
      </x:c>
      <x:c r="D430" s="14" t="str">
        <x:v>Egon Knusper</x:v>
      </x:c>
      <x:c r="E430" s="14" t="str">
        <x:v>Pauschale Einkauf und Technik 2025-12</x:v>
      </x:c>
      <x:c r="F430" s="12" t="n">
        <x:v>-145</x:v>
      </x:c>
      <x:c r="G430" s="13" t="n">
        <x:v>46015</x:v>
      </x:c>
      <x:c r="H430" s="2" t="str">
        <x:v>02_Konten/GIRO_2025-12.pdf</x:v>
      </x:c>
      <x:c r="I430" s="2" t="str">
        <x:v>EK-2025-12</x:v>
      </x:c>
      <x:c r="J430" s="2" t="str">
        <x:v>B0399</x:v>
      </x:c>
    </x:row>
    <x:row r="431" ht="35" customHeight="1">
      <x:c r="A431" s="2" t="str">
        <x:v>B0396</x:v>
      </x:c>
      <x:c r="B431" s="2" t="str">
        <x:v>GIRO</x:v>
      </x:c>
      <x:c r="C431" s="13" t="n">
        <x:v>46017</x:v>
      </x:c>
      <x:c r="D431" s="14" t="str">
        <x:v>Fensterbank Spree eG</x:v>
      </x:c>
      <x:c r="E431" s="14" t="str">
        <x:v>Kontoführung 2025-12</x:v>
      </x:c>
      <x:c r="F431" s="12" t="n">
        <x:v>-6.9</x:v>
      </x:c>
      <x:c r="G431" s="13" t="n">
        <x:v>46017</x:v>
      </x:c>
      <x:c r="H431" s="2" t="str">
        <x:v>02_Konten/GIRO_2025-12.pdf</x:v>
      </x:c>
      <x:c r="I431" s="2" t="str"/>
      <x:c r="J431" s="2" t="str">
        <x:v>B0396</x:v>
      </x:c>
    </x:row>
    <x:row r="432" ht="35" customHeight="1">
      <x:c r="A432" s="2" t="str">
        <x:v>B0385</x:v>
      </x:c>
      <x:c r="B432" s="2" t="str">
        <x:v>GIRO</x:v>
      </x:c>
      <x:c r="C432" s="13" t="n">
        <x:v>46020</x:v>
      </x:c>
      <x:c r="D432" s="14" t="str">
        <x:v>Rentenstelle Nord</x:v>
      </x:c>
      <x:c r="E432" s="14" t="str">
        <x:v>Altersrente 2025-12</x:v>
      </x:c>
      <x:c r="F432" s="12" t="n">
        <x:v>2020</x:v>
      </x:c>
      <x:c r="G432" s="13" t="n">
        <x:v>46020</x:v>
      </x:c>
      <x:c r="H432" s="2" t="str">
        <x:v>02_Konten/GIRO_2025-12.pdf</x:v>
      </x:c>
      <x:c r="I432" s="2" t="str"/>
      <x:c r="J432" s="2" t="str">
        <x:v>B0385</x:v>
      </x:c>
    </x:row>
    <x:row r="433" ht="35" customHeight="1">
      <x:c r="A433" s="2" t="str">
        <x:v>B0386</x:v>
      </x:c>
      <x:c r="B433" s="2" t="str">
        <x:v>GIRO</x:v>
      </x:c>
      <x:c r="C433" s="13" t="n">
        <x:v>46020</x:v>
      </x:c>
      <x:c r="D433" s="14" t="str">
        <x:v>Rentenstelle Nord</x:v>
      </x:c>
      <x:c r="E433" s="14" t="str">
        <x:v>Hinterbliebenenrente 2025-12</x:v>
      </x:c>
      <x:c r="F433" s="12" t="n">
        <x:v>485</x:v>
      </x:c>
      <x:c r="G433" s="13" t="n">
        <x:v>46020</x:v>
      </x:c>
      <x:c r="H433" s="2" t="str">
        <x:v>02_Konten/GIRO_2025-12.pdf</x:v>
      </x:c>
      <x:c r="I433" s="2" t="str"/>
      <x:c r="J433" s="2" t="str">
        <x:v>B0386</x:v>
      </x:c>
    </x:row>
    <x:row r="434" ht="35" customHeight="1">
      <x:c r="A434" s="2" t="str">
        <x:v>B0403</x:v>
      </x:c>
      <x:c r="B434" s="2" t="str">
        <x:v>SPAR</x:v>
      </x:c>
      <x:c r="C434" s="13" t="n">
        <x:v>46022</x:v>
      </x:c>
      <x:c r="D434" s="14" t="str">
        <x:v>Fensterbank Spree eG</x:v>
      </x:c>
      <x:c r="E434" s="14" t="str">
        <x:v>Habenzinsen Jahresabschluss</x:v>
      </x:c>
      <x:c r="F434" s="12" t="n">
        <x:v>115</x:v>
      </x:c>
      <x:c r="G434" s="13" t="n">
        <x:v>46022</x:v>
      </x:c>
      <x:c r="H434" s="2" t="str">
        <x:v>02_Konten/SPAR_2025-12.pdf</x:v>
      </x:c>
      <x:c r="I434" s="2" t="str"/>
      <x:c r="J434" s="2" t="str">
        <x:v>B0403</x:v>
      </x:c>
    </x:row>
    <x:row r="435" ht="35" customHeight="1">
      <x:c r="A435" s="2" t="str">
        <x:v>B0406</x:v>
      </x:c>
      <x:c r="B435" s="2" t="str">
        <x:v>GIRO</x:v>
      </x:c>
      <x:c r="C435" s="13" t="n">
        <x:v>46027</x:v>
      </x:c>
      <x:c r="D435" s="14" t="str">
        <x:v>Hausverwaltung Lindenblatt KG</x:v>
      </x:c>
      <x:c r="E435" s="14" t="str">
        <x:v>Warmmiete Fliederbogen 17 / 2026-01</x:v>
      </x:c>
      <x:c r="F435" s="12" t="n">
        <x:v>-820</x:v>
      </x:c>
      <x:c r="G435" s="13" t="n">
        <x:v>46027</x:v>
      </x:c>
      <x:c r="H435" s="2" t="str">
        <x:v>02_Konten/GIRO_2026-01.pdf</x:v>
      </x:c>
      <x:c r="I435" s="2" t="str"/>
      <x:c r="J435" s="2" t="str">
        <x:v>B0406</x:v>
      </x:c>
    </x:row>
    <x:row r="436" ht="35" customHeight="1">
      <x:c r="A436" s="2" t="str">
        <x:v>B0407</x:v>
      </x:c>
      <x:c r="B436" s="2" t="str">
        <x:v>GIRO</x:v>
      </x:c>
      <x:c r="C436" s="13" t="n">
        <x:v>46028</x:v>
      </x:c>
      <x:c r="D436" s="14" t="str">
        <x:v>Nordlicht Energie Berlin GmbH</x:v>
      </x:c>
      <x:c r="E436" s="14" t="str">
        <x:v>Abschlag Kundennummer NE-48017 / 2026-01</x:v>
      </x:c>
      <x:c r="F436" s="12" t="n">
        <x:v>-79</x:v>
      </x:c>
      <x:c r="G436" s="13" t="n">
        <x:v>46028</x:v>
      </x:c>
      <x:c r="H436" s="2" t="str">
        <x:v>02_Konten/GIRO_2026-01.pdf</x:v>
      </x:c>
      <x:c r="I436" s="2" t="str"/>
      <x:c r="J436" s="2" t="str">
        <x:v>B0407</x:v>
      </x:c>
    </x:row>
    <x:row r="437" ht="35" customHeight="1">
      <x:c r="A437" s="2" t="str">
        <x:v>B0408</x:v>
      </x:c>
      <x:c r="B437" s="2" t="str">
        <x:v>GIRO</x:v>
      </x:c>
      <x:c r="C437" s="13" t="n">
        <x:v>46030</x:v>
      </x:c>
      <x:c r="D437" s="14" t="str">
        <x:v>Sprechfink Telekom GmbH</x:v>
      </x:c>
      <x:c r="E437" s="14" t="str">
        <x:v>Festnetz und Internet SP-118044 / 2026-01</x:v>
      </x:c>
      <x:c r="F437" s="12" t="n">
        <x:v>-44.99</x:v>
      </x:c>
      <x:c r="G437" s="13" t="n">
        <x:v>46030</x:v>
      </x:c>
      <x:c r="H437" s="2" t="str">
        <x:v>02_Konten/GIRO_2026-01.pdf</x:v>
      </x:c>
      <x:c r="I437" s="2" t="str">
        <x:v>TEL-2026-01</x:v>
      </x:c>
      <x:c r="J437" s="2" t="str">
        <x:v>B0408</x:v>
      </x:c>
    </x:row>
    <x:row r="438" ht="35" customHeight="1">
      <x:c r="A438" s="2" t="str">
        <x:v>B0416</x:v>
      </x:c>
      <x:c r="B438" s="2" t="str">
        <x:v>GIRO</x:v>
      </x:c>
      <x:c r="C438" s="13" t="n">
        <x:v>46031</x:v>
      </x:c>
      <x:c r="D438" s="14" t="str">
        <x:v>Glücksfenster Service GmbH</x:v>
      </x:c>
      <x:c r="E438" s="14" t="str">
        <x:v>Teilnahmeservice GF-90335 / 2026-01</x:v>
      </x:c>
      <x:c r="F438" s="12" t="n">
        <x:v>-29.9</x:v>
      </x:c>
      <x:c r="G438" s="13" t="n">
        <x:v>46031</x:v>
      </x:c>
      <x:c r="H438" s="2" t="str">
        <x:v>02_Konten/GIRO_2026-01.pdf</x:v>
      </x:c>
      <x:c r="I438" s="2" t="str"/>
      <x:c r="J438" s="2" t="str">
        <x:v>B0416</x:v>
      </x:c>
    </x:row>
    <x:row r="439" ht="35" customHeight="1">
      <x:c r="A439" s="2" t="str">
        <x:v>B0409</x:v>
      </x:c>
      <x:c r="B439" s="2" t="str">
        <x:v>GIRO</x:v>
      </x:c>
      <x:c r="C439" s="13" t="n">
        <x:v>46034</x:v>
      </x:c>
      <x:c r="D439" s="14" t="str">
        <x:v>Alltagshilfe Mohnblüte GmbH</x:v>
      </x:c>
      <x:c r="E439" s="14" t="str">
        <x:v>Haushaltshilfe Rechnung MH-2026-01</x:v>
      </x:c>
      <x:c r="F439" s="12" t="n">
        <x:v>-126.5</x:v>
      </x:c>
      <x:c r="G439" s="13" t="n">
        <x:v>46034</x:v>
      </x:c>
      <x:c r="H439" s="2" t="str">
        <x:v>02_Konten/GIRO_2026-01.pdf</x:v>
      </x:c>
      <x:c r="I439" s="2" t="str">
        <x:v>MH-2026-01</x:v>
      </x:c>
      <x:c r="J439" s="2" t="str">
        <x:v>B0409</x:v>
      </x:c>
    </x:row>
    <x:row r="440" ht="35" customHeight="1">
      <x:c r="A440" s="2" t="str">
        <x:v>B0417</x:v>
      </x:c>
      <x:c r="B440" s="2" t="str">
        <x:v>GIRO</x:v>
      </x:c>
      <x:c r="C440" s="13" t="n">
        <x:v>46034</x:v>
      </x:c>
      <x:c r="D440" s="14" t="str">
        <x:v>LebensKompass Direkt GmbH</x:v>
      </x:c>
      <x:c r="E440" s="14" t="str">
        <x:v>Digitalpaket LK-55771 / 2026-01</x:v>
      </x:c>
      <x:c r="F440" s="12" t="n">
        <x:v>-69.9</x:v>
      </x:c>
      <x:c r="G440" s="13" t="n">
        <x:v>46034</x:v>
      </x:c>
      <x:c r="H440" s="2" t="str">
        <x:v>02_Konten/GIRO_2026-01.pdf</x:v>
      </x:c>
      <x:c r="I440" s="2" t="str"/>
      <x:c r="J440" s="2" t="str">
        <x:v>B0417</x:v>
      </x:c>
    </x:row>
    <x:row r="441" ht="35" customHeight="1">
      <x:c r="A441" s="2" t="str">
        <x:v>B0569</x:v>
      </x:c>
      <x:c r="B441" s="2" t="str">
        <x:v>GIRO</x:v>
      </x:c>
      <x:c r="C441" s="13" t="n">
        <x:v>46035</x:v>
      </x:c>
      <x:c r="D441" s="14" t="str">
        <x:v>Ruprecht Pfister</x:v>
      </x:c>
      <x:c r="E441" s="14" t="str">
        <x:v>Teilzahlung Transporter</x:v>
      </x:c>
      <x:c r="F441" s="12" t="n">
        <x:v>300</x:v>
      </x:c>
      <x:c r="G441" s="13" t="n">
        <x:v>46035</x:v>
      </x:c>
      <x:c r="H441" s="2" t="str">
        <x:v>02_Konten/GIRO_2026-01.pdf</x:v>
      </x:c>
      <x:c r="I441" s="2" t="str"/>
      <x:c r="J441" s="2" t="str">
        <x:v>B0569</x:v>
      </x:c>
    </x:row>
    <x:row r="442" ht="35" customHeight="1">
      <x:c r="A442" s="2" t="str">
        <x:v>B0410</x:v>
      </x:c>
      <x:c r="B442" s="2" t="str">
        <x:v>GIRO</x:v>
      </x:c>
      <x:c r="C442" s="13" t="n">
        <x:v>46036</x:v>
      </x:c>
      <x:c r="D442" s="14" t="str">
        <x:v>Frischemarkt Karow</x:v>
      </x:c>
      <x:c r="E442" s="14" t="str">
        <x:v>Kartenzahlung Lebensmittel, Belegserie FK 2026-01</x:v>
      </x:c>
      <x:c r="F442" s="12" t="n">
        <x:v>-251.99</x:v>
      </x:c>
      <x:c r="G442" s="13" t="n">
        <x:v>46036</x:v>
      </x:c>
      <x:c r="H442" s="2" t="str">
        <x:v>02_Konten/GIRO_2026-01.pdf</x:v>
      </x:c>
      <x:c r="I442" s="2" t="str"/>
      <x:c r="J442" s="2" t="str">
        <x:v>B0410</x:v>
      </x:c>
    </x:row>
    <x:row r="443" ht="35" customHeight="1">
      <x:c r="A443" s="2" t="str">
        <x:v>B0411</x:v>
      </x:c>
      <x:c r="B443" s="2" t="str">
        <x:v>GIRO</x:v>
      </x:c>
      <x:c r="C443" s="13" t="n">
        <x:v>46037</x:v>
      </x:c>
      <x:c r="D443" s="14" t="str">
        <x:v>Apotheke Silberblatt</x:v>
      </x:c>
      <x:c r="E443" s="14" t="str">
        <x:v>Zuzahlung und Pflegebedarf 2026-01</x:v>
      </x:c>
      <x:c r="F443" s="12" t="n">
        <x:v>-37.01</x:v>
      </x:c>
      <x:c r="G443" s="13" t="n">
        <x:v>46037</x:v>
      </x:c>
      <x:c r="H443" s="2" t="str">
        <x:v>02_Konten/GIRO_2026-01.pdf</x:v>
      </x:c>
      <x:c r="I443" s="2" t="str">
        <x:v>AP-2026-01</x:v>
      </x:c>
      <x:c r="J443" s="2" t="str">
        <x:v>B0411</x:v>
      </x:c>
    </x:row>
    <x:row r="444" ht="35" customHeight="1">
      <x:c r="A444" s="2" t="str">
        <x:v>B0412</x:v>
      </x:c>
      <x:c r="B444" s="2" t="str">
        <x:v>GIRO</x:v>
      </x:c>
      <x:c r="C444" s="13" t="n">
        <x:v>46041</x:v>
      </x:c>
      <x:c r="D444" s="14" t="str">
        <x:v>Geldautomat Karow</x:v>
      </x:c>
      <x:c r="E444" s="14" t="str">
        <x:v>Bargeldauszahlung Karte 0441, Terminal KA-03</x:v>
      </x:c>
      <x:c r="F444" s="12" t="n">
        <x:v>-200</x:v>
      </x:c>
      <x:c r="G444" s="13" t="n">
        <x:v>46041</x:v>
      </x:c>
      <x:c r="H444" s="2" t="str">
        <x:v>02_Konten/GIRO_2026-01.pdf</x:v>
      </x:c>
      <x:c r="I444" s="2" t="str"/>
      <x:c r="J444" s="2" t="str">
        <x:v>B0412</x:v>
      </x:c>
    </x:row>
    <x:row r="445" ht="35" customHeight="1">
      <x:c r="A445" s="2" t="str">
        <x:v>B0413</x:v>
      </x:c>
      <x:c r="B445" s="2" t="str">
        <x:v>GIRO</x:v>
      </x:c>
      <x:c r="C445" s="13" t="n">
        <x:v>46042</x:v>
      </x:c>
      <x:c r="D445" s="14" t="str">
        <x:v>Tierladen Pfötchen</x:v>
      </x:c>
      <x:c r="E445" s="14" t="str">
        <x:v>Futter und Streu für Kater Mürbchen</x:v>
      </x:c>
      <x:c r="F445" s="12" t="n">
        <x:v>-48.5</x:v>
      </x:c>
      <x:c r="G445" s="13" t="n">
        <x:v>46042</x:v>
      </x:c>
      <x:c r="H445" s="2" t="str">
        <x:v>02_Konten/GIRO_2026-01.pdf</x:v>
      </x:c>
      <x:c r="I445" s="2" t="str"/>
      <x:c r="J445" s="2" t="str">
        <x:v>B0413</x:v>
      </x:c>
    </x:row>
    <x:row r="446" ht="35" customHeight="1">
      <x:c r="A446" s="2" t="str">
        <x:v>B0414</x:v>
      </x:c>
      <x:c r="B446" s="2" t="str">
        <x:v>GIRO</x:v>
      </x:c>
      <x:c r="C446" s="13" t="n">
        <x:v>46044</x:v>
      </x:c>
      <x:c r="D446" s="14" t="str">
        <x:v>SofaKino Digital GmbH</x:v>
      </x:c>
      <x:c r="E446" s="14" t="str">
        <x:v>Monatsabo SK-77380 / 2026-01</x:v>
      </x:c>
      <x:c r="F446" s="12" t="n">
        <x:v>-12.99</x:v>
      </x:c>
      <x:c r="G446" s="13" t="n">
        <x:v>46044</x:v>
      </x:c>
      <x:c r="H446" s="2" t="str">
        <x:v>02_Konten/GIRO_2026-01.pdf</x:v>
      </x:c>
      <x:c r="I446" s="2" t="str"/>
      <x:c r="J446" s="2" t="str">
        <x:v>B0414</x:v>
      </x:c>
    </x:row>
    <x:row r="447" ht="35" customHeight="1">
      <x:c r="A447" s="2" t="str">
        <x:v>B0415</x:v>
      </x:c>
      <x:c r="B447" s="2" t="str">
        <x:v>GIRO</x:v>
      </x:c>
      <x:c r="C447" s="13" t="n">
        <x:v>46048</x:v>
      </x:c>
      <x:c r="D447" s="14" t="str">
        <x:v>Fensterbank Spree eG</x:v>
      </x:c>
      <x:c r="E447" s="14" t="str">
        <x:v>Kontoführung 2026-01</x:v>
      </x:c>
      <x:c r="F447" s="12" t="n">
        <x:v>-6.9</x:v>
      </x:c>
      <x:c r="G447" s="13" t="n">
        <x:v>46048</x:v>
      </x:c>
      <x:c r="H447" s="2" t="str">
        <x:v>02_Konten/GIRO_2026-01.pdf</x:v>
      </x:c>
      <x:c r="I447" s="2" t="str"/>
      <x:c r="J447" s="2" t="str">
        <x:v>B0415</x:v>
      </x:c>
    </x:row>
    <x:row r="448" ht="35" customHeight="1">
      <x:c r="A448" s="2" t="str">
        <x:v>B0418</x:v>
      </x:c>
      <x:c r="B448" s="2" t="str">
        <x:v>GIRO</x:v>
      </x:c>
      <x:c r="C448" s="13" t="n">
        <x:v>46048</x:v>
      </x:c>
      <x:c r="D448" s="14" t="str">
        <x:v>Egon Knusper</x:v>
      </x:c>
      <x:c r="E448" s="14" t="str">
        <x:v>Pauschale Einkauf und Technik 2026-01</x:v>
      </x:c>
      <x:c r="F448" s="12" t="n">
        <x:v>-145</x:v>
      </x:c>
      <x:c r="G448" s="13" t="n">
        <x:v>46048</x:v>
      </x:c>
      <x:c r="H448" s="2" t="str">
        <x:v>02_Konten/GIRO_2026-01.pdf</x:v>
      </x:c>
      <x:c r="I448" s="2" t="str">
        <x:v>EK-2026-01</x:v>
      </x:c>
      <x:c r="J448" s="2" t="str">
        <x:v>B0418</x:v>
      </x:c>
    </x:row>
    <x:row r="449" ht="35" customHeight="1">
      <x:c r="A449" s="2" t="str">
        <x:v>B0404</x:v>
      </x:c>
      <x:c r="B449" s="2" t="str">
        <x:v>GIRO</x:v>
      </x:c>
      <x:c r="C449" s="13" t="n">
        <x:v>46050</x:v>
      </x:c>
      <x:c r="D449" s="14" t="str">
        <x:v>Rentenstelle Nord</x:v>
      </x:c>
      <x:c r="E449" s="14" t="str">
        <x:v>Altersrente 2026-01</x:v>
      </x:c>
      <x:c r="F449" s="12" t="n">
        <x:v>2020</x:v>
      </x:c>
      <x:c r="G449" s="13" t="n">
        <x:v>46050</x:v>
      </x:c>
      <x:c r="H449" s="2" t="str">
        <x:v>02_Konten/GIRO_2026-01.pdf</x:v>
      </x:c>
      <x:c r="I449" s="2" t="str"/>
      <x:c r="J449" s="2" t="str">
        <x:v>B0404</x:v>
      </x:c>
    </x:row>
    <x:row r="450" ht="35" customHeight="1">
      <x:c r="A450" s="2" t="str">
        <x:v>B0405</x:v>
      </x:c>
      <x:c r="B450" s="2" t="str">
        <x:v>GIRO</x:v>
      </x:c>
      <x:c r="C450" s="13" t="n">
        <x:v>46050</x:v>
      </x:c>
      <x:c r="D450" s="14" t="str">
        <x:v>Rentenstelle Nord</x:v>
      </x:c>
      <x:c r="E450" s="14" t="str">
        <x:v>Hinterbliebenenrente 2026-01</x:v>
      </x:c>
      <x:c r="F450" s="12" t="n">
        <x:v>485</x:v>
      </x:c>
      <x:c r="G450" s="13" t="n">
        <x:v>46050</x:v>
      </x:c>
      <x:c r="H450" s="2" t="str">
        <x:v>02_Konten/GIRO_2026-01.pdf</x:v>
      </x:c>
      <x:c r="I450" s="2" t="str"/>
      <x:c r="J450" s="2" t="str">
        <x:v>B0405</x:v>
      </x:c>
    </x:row>
    <x:row r="451" ht="35" customHeight="1">
      <x:c r="A451" s="2" t="str">
        <x:v>B0421</x:v>
      </x:c>
      <x:c r="B451" s="2" t="str">
        <x:v>GIRO</x:v>
      </x:c>
      <x:c r="C451" s="13" t="n">
        <x:v>46056</x:v>
      </x:c>
      <x:c r="D451" s="14" t="str">
        <x:v>Hausverwaltung Lindenblatt KG</x:v>
      </x:c>
      <x:c r="E451" s="14" t="str">
        <x:v>Warmmiete Fliederbogen 17 / 2026-02</x:v>
      </x:c>
      <x:c r="F451" s="12" t="n">
        <x:v>-820</x:v>
      </x:c>
      <x:c r="G451" s="13" t="n">
        <x:v>46056</x:v>
      </x:c>
      <x:c r="H451" s="2" t="str">
        <x:v>02_Konten/GIRO_2026-02.pdf</x:v>
      </x:c>
      <x:c r="I451" s="2" t="str"/>
      <x:c r="J451" s="2" t="str">
        <x:v>B0421</x:v>
      </x:c>
    </x:row>
    <x:row r="452" ht="35" customHeight="1">
      <x:c r="A452" s="2" t="str">
        <x:v>B0422</x:v>
      </x:c>
      <x:c r="B452" s="2" t="str">
        <x:v>GIRO</x:v>
      </x:c>
      <x:c r="C452" s="13" t="n">
        <x:v>46059</x:v>
      </x:c>
      <x:c r="D452" s="14" t="str">
        <x:v>Nordlicht Energie Berlin GmbH</x:v>
      </x:c>
      <x:c r="E452" s="14" t="str">
        <x:v>Abschlag Kundennummer NE-48017 / 2026-02</x:v>
      </x:c>
      <x:c r="F452" s="12" t="n">
        <x:v>-79</x:v>
      </x:c>
      <x:c r="G452" s="13" t="n">
        <x:v>46059</x:v>
      </x:c>
      <x:c r="H452" s="2" t="str">
        <x:v>02_Konten/GIRO_2026-02.pdf</x:v>
      </x:c>
      <x:c r="I452" s="2" t="str"/>
      <x:c r="J452" s="2" t="str">
        <x:v>B0422</x:v>
      </x:c>
    </x:row>
    <x:row r="453" ht="35" customHeight="1">
      <x:c r="A453" s="2" t="str">
        <x:v>B0423</x:v>
      </x:c>
      <x:c r="B453" s="2" t="str">
        <x:v>GIRO</x:v>
      </x:c>
      <x:c r="C453" s="13" t="n">
        <x:v>46062</x:v>
      </x:c>
      <x:c r="D453" s="14" t="str">
        <x:v>Sprechfink Telekom GmbH</x:v>
      </x:c>
      <x:c r="E453" s="14" t="str">
        <x:v>Festnetz und Internet SP-118044 / 2026-02</x:v>
      </x:c>
      <x:c r="F453" s="12" t="n">
        <x:v>-44.99</x:v>
      </x:c>
      <x:c r="G453" s="13" t="n">
        <x:v>46062</x:v>
      </x:c>
      <x:c r="H453" s="2" t="str">
        <x:v>02_Konten/GIRO_2026-02.pdf</x:v>
      </x:c>
      <x:c r="I453" s="2" t="str">
        <x:v>TEL-2026-02</x:v>
      </x:c>
      <x:c r="J453" s="2" t="str">
        <x:v>B0423</x:v>
      </x:c>
    </x:row>
    <x:row r="454" ht="35" customHeight="1">
      <x:c r="A454" s="2" t="str">
        <x:v>B0431</x:v>
      </x:c>
      <x:c r="B454" s="2" t="str">
        <x:v>GIRO</x:v>
      </x:c>
      <x:c r="C454" s="13" t="n">
        <x:v>46062</x:v>
      </x:c>
      <x:c r="D454" s="14" t="str">
        <x:v>Glücksfenster Service GmbH</x:v>
      </x:c>
      <x:c r="E454" s="14" t="str">
        <x:v>Teilnahmeservice GF-90335 / 2026-02</x:v>
      </x:c>
      <x:c r="F454" s="12" t="n">
        <x:v>-29.9</x:v>
      </x:c>
      <x:c r="G454" s="13" t="n">
        <x:v>46062</x:v>
      </x:c>
      <x:c r="H454" s="2" t="str">
        <x:v>02_Konten/GIRO_2026-02.pdf</x:v>
      </x:c>
      <x:c r="I454" s="2" t="str"/>
      <x:c r="J454" s="2" t="str">
        <x:v>B0431</x:v>
      </x:c>
    </x:row>
    <x:row r="455" ht="35" customHeight="1">
      <x:c r="A455" s="2" t="str">
        <x:v>B0570</x:v>
      </x:c>
      <x:c r="B455" s="2" t="str">
        <x:v>GIRO</x:v>
      </x:c>
      <x:c r="C455" s="13" t="n">
        <x:v>46063</x:v>
      </x:c>
      <x:c r="D455" s="14" t="str">
        <x:v>Geldautomat Karow</x:v>
      </x:c>
      <x:c r="E455" s="14" t="str">
        <x:v>Bargeldauszahlung Karte 0441, Terminal KA-03</x:v>
      </x:c>
      <x:c r="F455" s="12" t="n">
        <x:v>-550</x:v>
      </x:c>
      <x:c r="G455" s="13" t="n">
        <x:v>46063</x:v>
      </x:c>
      <x:c r="H455" s="2" t="str">
        <x:v>02_Konten/GIRO_2026-02.pdf</x:v>
      </x:c>
      <x:c r="I455" s="2" t="str"/>
      <x:c r="J455" s="2" t="str">
        <x:v>B0570</x:v>
      </x:c>
    </x:row>
    <x:row r="456" ht="35" customHeight="1">
      <x:c r="A456" s="2" t="str">
        <x:v>B0432</x:v>
      </x:c>
      <x:c r="B456" s="2" t="str">
        <x:v>GIRO</x:v>
      </x:c>
      <x:c r="C456" s="13" t="n">
        <x:v>46064</x:v>
      </x:c>
      <x:c r="D456" s="14" t="str">
        <x:v>LebensKompass Direkt GmbH</x:v>
      </x:c>
      <x:c r="E456" s="14" t="str">
        <x:v>Digitalpaket LK-55771 / 2026-02</x:v>
      </x:c>
      <x:c r="F456" s="12" t="n">
        <x:v>-69.9</x:v>
      </x:c>
      <x:c r="G456" s="13" t="n">
        <x:v>46064</x:v>
      </x:c>
      <x:c r="H456" s="2" t="str">
        <x:v>02_Konten/GIRO_2026-02.pdf</x:v>
      </x:c>
      <x:c r="I456" s="2" t="str"/>
      <x:c r="J456" s="2" t="str">
        <x:v>B0432</x:v>
      </x:c>
    </x:row>
    <x:row r="457" ht="35" customHeight="1">
      <x:c r="A457" s="2" t="str">
        <x:v>B0424</x:v>
      </x:c>
      <x:c r="B457" s="2" t="str">
        <x:v>GIRO</x:v>
      </x:c>
      <x:c r="C457" s="13" t="n">
        <x:v>46065</x:v>
      </x:c>
      <x:c r="D457" s="14" t="str">
        <x:v>Alltagshilfe Mohnblüte GmbH</x:v>
      </x:c>
      <x:c r="E457" s="14" t="str">
        <x:v>Haushaltshilfe Rechnung MH-2026-02</x:v>
      </x:c>
      <x:c r="F457" s="12" t="n">
        <x:v>-126.5</x:v>
      </x:c>
      <x:c r="G457" s="13" t="n">
        <x:v>46065</x:v>
      </x:c>
      <x:c r="H457" s="2" t="str">
        <x:v>02_Konten/GIRO_2026-02.pdf</x:v>
      </x:c>
      <x:c r="I457" s="2" t="str">
        <x:v>MH-2026-02</x:v>
      </x:c>
      <x:c r="J457" s="2" t="str">
        <x:v>B0424</x:v>
      </x:c>
    </x:row>
    <x:row r="458" ht="35" customHeight="1">
      <x:c r="A458" s="2" t="str">
        <x:v>B0425</x:v>
      </x:c>
      <x:c r="B458" s="2" t="str">
        <x:v>GIRO</x:v>
      </x:c>
      <x:c r="C458" s="13" t="n">
        <x:v>46069</x:v>
      </x:c>
      <x:c r="D458" s="14" t="str">
        <x:v>Frischemarkt Karow</x:v>
      </x:c>
      <x:c r="E458" s="14" t="str">
        <x:v>Kartenzahlung Lebensmittel, Belegserie FK 2026-02</x:v>
      </x:c>
      <x:c r="F458" s="12" t="n">
        <x:v>-253.36</x:v>
      </x:c>
      <x:c r="G458" s="13" t="n">
        <x:v>46069</x:v>
      </x:c>
      <x:c r="H458" s="2" t="str">
        <x:v>02_Konten/GIRO_2026-02.pdf</x:v>
      </x:c>
      <x:c r="I458" s="2" t="str"/>
      <x:c r="J458" s="2" t="str">
        <x:v>B0425</x:v>
      </x:c>
    </x:row>
    <x:row r="459" ht="35" customHeight="1">
      <x:c r="A459" s="2" t="str">
        <x:v>B0426</x:v>
      </x:c>
      <x:c r="B459" s="2" t="str">
        <x:v>GIRO</x:v>
      </x:c>
      <x:c r="C459" s="13" t="n">
        <x:v>46069</x:v>
      </x:c>
      <x:c r="D459" s="14" t="str">
        <x:v>Apotheke Silberblatt</x:v>
      </x:c>
      <x:c r="E459" s="14" t="str">
        <x:v>Zuzahlung und Pflegebedarf 2026-02</x:v>
      </x:c>
      <x:c r="F459" s="12" t="n">
        <x:v>-38.14</x:v>
      </x:c>
      <x:c r="G459" s="13" t="n">
        <x:v>46069</x:v>
      </x:c>
      <x:c r="H459" s="2" t="str">
        <x:v>02_Konten/GIRO_2026-02.pdf</x:v>
      </x:c>
      <x:c r="I459" s="2" t="str"/>
      <x:c r="J459" s="2" t="str">
        <x:v>B0426</x:v>
      </x:c>
    </x:row>
    <x:row r="460" ht="35" customHeight="1">
      <x:c r="A460" s="2" t="str">
        <x:v>B0427</x:v>
      </x:c>
      <x:c r="B460" s="2" t="str">
        <x:v>GIRO</x:v>
      </x:c>
      <x:c r="C460" s="13" t="n">
        <x:v>46071</x:v>
      </x:c>
      <x:c r="D460" s="14" t="str">
        <x:v>Geldautomat Karow</x:v>
      </x:c>
      <x:c r="E460" s="14" t="str">
        <x:v>Bargeldauszahlung Karte 0441, Terminal KA-03</x:v>
      </x:c>
      <x:c r="F460" s="12" t="n">
        <x:v>-200</x:v>
      </x:c>
      <x:c r="G460" s="13" t="n">
        <x:v>46071</x:v>
      </x:c>
      <x:c r="H460" s="2" t="str">
        <x:v>02_Konten/GIRO_2026-02.pdf</x:v>
      </x:c>
      <x:c r="I460" s="2" t="str"/>
      <x:c r="J460" s="2" t="str">
        <x:v>B0427</x:v>
      </x:c>
    </x:row>
    <x:row r="461" ht="35" customHeight="1">
      <x:c r="A461" s="2" t="str">
        <x:v>B0428</x:v>
      </x:c>
      <x:c r="B461" s="2" t="str">
        <x:v>GIRO</x:v>
      </x:c>
      <x:c r="C461" s="13" t="n">
        <x:v>46073</x:v>
      </x:c>
      <x:c r="D461" s="14" t="str">
        <x:v>Tierladen Pfötchen</x:v>
      </x:c>
      <x:c r="E461" s="14" t="str">
        <x:v>Futter und Streu für Kater Mürbchen</x:v>
      </x:c>
      <x:c r="F461" s="12" t="n">
        <x:v>-48.5</x:v>
      </x:c>
      <x:c r="G461" s="13" t="n">
        <x:v>46073</x:v>
      </x:c>
      <x:c r="H461" s="2" t="str">
        <x:v>02_Konten/GIRO_2026-02.pdf</x:v>
      </x:c>
      <x:c r="I461" s="2" t="str"/>
      <x:c r="J461" s="2" t="str">
        <x:v>B0428</x:v>
      </x:c>
    </x:row>
    <x:row r="462" ht="35" customHeight="1">
      <x:c r="A462" s="2" t="str">
        <x:v>B0429</x:v>
      </x:c>
      <x:c r="B462" s="2" t="str">
        <x:v>GIRO</x:v>
      </x:c>
      <x:c r="C462" s="13" t="n">
        <x:v>46076</x:v>
      </x:c>
      <x:c r="D462" s="14" t="str">
        <x:v>SofaKino Digital GmbH</x:v>
      </x:c>
      <x:c r="E462" s="14" t="str">
        <x:v>Monatsabo SK-77380 / 2026-02</x:v>
      </x:c>
      <x:c r="F462" s="12" t="n">
        <x:v>-12.99</x:v>
      </x:c>
      <x:c r="G462" s="13" t="n">
        <x:v>46076</x:v>
      </x:c>
      <x:c r="H462" s="2" t="str">
        <x:v>02_Konten/GIRO_2026-02.pdf</x:v>
      </x:c>
      <x:c r="I462" s="2" t="str"/>
      <x:c r="J462" s="2" t="str">
        <x:v>B0429</x:v>
      </x:c>
    </x:row>
    <x:row r="463" ht="35" customHeight="1">
      <x:c r="A463" s="2" t="str">
        <x:v>B0433</x:v>
      </x:c>
      <x:c r="B463" s="2" t="str">
        <x:v>GIRO</x:v>
      </x:c>
      <x:c r="C463" s="13" t="n">
        <x:v>46077</x:v>
      </x:c>
      <x:c r="D463" s="14" t="str">
        <x:v>Egon Knusper</x:v>
      </x:c>
      <x:c r="E463" s="14" t="str">
        <x:v>Pauschale Einkauf und Technik 2026-02</x:v>
      </x:c>
      <x:c r="F463" s="12" t="n">
        <x:v>-145</x:v>
      </x:c>
      <x:c r="G463" s="13" t="n">
        <x:v>46077</x:v>
      </x:c>
      <x:c r="H463" s="2" t="str">
        <x:v>02_Konten/GIRO_2026-02.pdf</x:v>
      </x:c>
      <x:c r="I463" s="2" t="str">
        <x:v>EK-2026-02</x:v>
      </x:c>
      <x:c r="J463" s="2" t="str">
        <x:v>B0433</x:v>
      </x:c>
    </x:row>
    <x:row r="464" ht="35" customHeight="1">
      <x:c r="A464" s="2" t="str">
        <x:v>B0430</x:v>
      </x:c>
      <x:c r="B464" s="2" t="str">
        <x:v>GIRO</x:v>
      </x:c>
      <x:c r="C464" s="13" t="n">
        <x:v>46079</x:v>
      </x:c>
      <x:c r="D464" s="14" t="str">
        <x:v>Fensterbank Spree eG</x:v>
      </x:c>
      <x:c r="E464" s="14" t="str">
        <x:v>Kontoführung 2026-02</x:v>
      </x:c>
      <x:c r="F464" s="12" t="n">
        <x:v>-6.9</x:v>
      </x:c>
      <x:c r="G464" s="13" t="n">
        <x:v>46079</x:v>
      </x:c>
      <x:c r="H464" s="2" t="str">
        <x:v>02_Konten/GIRO_2026-02.pdf</x:v>
      </x:c>
      <x:c r="I464" s="2" t="str"/>
      <x:c r="J464" s="2" t="str">
        <x:v>B0430</x:v>
      </x:c>
    </x:row>
    <x:row r="465" ht="35" customHeight="1">
      <x:c r="A465" s="2" t="str">
        <x:v>B0419</x:v>
      </x:c>
      <x:c r="B465" s="2" t="str">
        <x:v>GIRO</x:v>
      </x:c>
      <x:c r="C465" s="13" t="n">
        <x:v>46083</x:v>
      </x:c>
      <x:c r="D465" s="14" t="str">
        <x:v>Rentenstelle Nord</x:v>
      </x:c>
      <x:c r="E465" s="14" t="str">
        <x:v>Altersrente 2026-02</x:v>
      </x:c>
      <x:c r="F465" s="12" t="n">
        <x:v>2020</x:v>
      </x:c>
      <x:c r="G465" s="13" t="n">
        <x:v>46083</x:v>
      </x:c>
      <x:c r="H465" s="2" t="str">
        <x:v>02_Konten/GIRO_2026-03.pdf</x:v>
      </x:c>
      <x:c r="I465" s="2" t="str"/>
      <x:c r="J465" s="2" t="str">
        <x:v>B0419</x:v>
      </x:c>
    </x:row>
    <x:row r="466" ht="35" customHeight="1">
      <x:c r="A466" s="2" t="str">
        <x:v>B0420</x:v>
      </x:c>
      <x:c r="B466" s="2" t="str">
        <x:v>GIRO</x:v>
      </x:c>
      <x:c r="C466" s="13" t="n">
        <x:v>46083</x:v>
      </x:c>
      <x:c r="D466" s="14" t="str">
        <x:v>Rentenstelle Nord</x:v>
      </x:c>
      <x:c r="E466" s="14" t="str">
        <x:v>Hinterbliebenenrente 2026-02</x:v>
      </x:c>
      <x:c r="F466" s="12" t="n">
        <x:v>485</x:v>
      </x:c>
      <x:c r="G466" s="13" t="n">
        <x:v>46083</x:v>
      </x:c>
      <x:c r="H466" s="2" t="str">
        <x:v>02_Konten/GIRO_2026-03.pdf</x:v>
      </x:c>
      <x:c r="I466" s="2" t="str"/>
      <x:c r="J466" s="2" t="str">
        <x:v>B0420</x:v>
      </x:c>
    </x:row>
    <x:row r="467" ht="35" customHeight="1">
      <x:c r="A467" s="2" t="str">
        <x:v>B0436</x:v>
      </x:c>
      <x:c r="B467" s="2" t="str">
        <x:v>GIRO</x:v>
      </x:c>
      <x:c r="C467" s="13" t="n">
        <x:v>46084</x:v>
      </x:c>
      <x:c r="D467" s="14" t="str">
        <x:v>Hausverwaltung Lindenblatt KG</x:v>
      </x:c>
      <x:c r="E467" s="14" t="str">
        <x:v>Warmmiete Fliederbogen 17 / 2026-03</x:v>
      </x:c>
      <x:c r="F467" s="12" t="n">
        <x:v>-820</x:v>
      </x:c>
      <x:c r="G467" s="13" t="n">
        <x:v>46084</x:v>
      </x:c>
      <x:c r="H467" s="2" t="str">
        <x:v>02_Konten/GIRO_2026-03.pdf</x:v>
      </x:c>
      <x:c r="I467" s="2" t="str"/>
      <x:c r="J467" s="2" t="str">
        <x:v>B0436</x:v>
      </x:c>
    </x:row>
    <x:row r="468" ht="35" customHeight="1">
      <x:c r="A468" s="2" t="str">
        <x:v>B0437</x:v>
      </x:c>
      <x:c r="B468" s="2" t="str">
        <x:v>GIRO</x:v>
      </x:c>
      <x:c r="C468" s="13" t="n">
        <x:v>46087</x:v>
      </x:c>
      <x:c r="D468" s="14" t="str">
        <x:v>Nordlicht Energie Berlin GmbH</x:v>
      </x:c>
      <x:c r="E468" s="14" t="str">
        <x:v>Abschlag Kundennummer NE-48017 / 2026-03</x:v>
      </x:c>
      <x:c r="F468" s="12" t="n">
        <x:v>-79</x:v>
      </x:c>
      <x:c r="G468" s="13" t="n">
        <x:v>46087</x:v>
      </x:c>
      <x:c r="H468" s="2" t="str">
        <x:v>02_Konten/GIRO_2026-03.pdf</x:v>
      </x:c>
      <x:c r="I468" s="2" t="str"/>
      <x:c r="J468" s="2" t="str">
        <x:v>B0437</x:v>
      </x:c>
    </x:row>
    <x:row r="469" ht="35" customHeight="1">
      <x:c r="A469" s="2" t="str">
        <x:v>B0438</x:v>
      </x:c>
      <x:c r="B469" s="2" t="str">
        <x:v>GIRO</x:v>
      </x:c>
      <x:c r="C469" s="13" t="n">
        <x:v>46090</x:v>
      </x:c>
      <x:c r="D469" s="14" t="str">
        <x:v>Sprechfink Telekom GmbH</x:v>
      </x:c>
      <x:c r="E469" s="14" t="str">
        <x:v>Festnetz und Internet SP-118044 / 2026-03</x:v>
      </x:c>
      <x:c r="F469" s="12" t="n">
        <x:v>-44.99</x:v>
      </x:c>
      <x:c r="G469" s="13" t="n">
        <x:v>46090</x:v>
      </x:c>
      <x:c r="H469" s="2" t="str">
        <x:v>02_Konten/GIRO_2026-03.pdf</x:v>
      </x:c>
      <x:c r="I469" s="2" t="str">
        <x:v>TEL-2026-03</x:v>
      </x:c>
      <x:c r="J469" s="2" t="str">
        <x:v>B0438</x:v>
      </x:c>
    </x:row>
    <x:row r="470" ht="35" customHeight="1">
      <x:c r="A470" s="2" t="str">
        <x:v>B0446</x:v>
      </x:c>
      <x:c r="B470" s="2" t="str">
        <x:v>GIRO</x:v>
      </x:c>
      <x:c r="C470" s="13" t="n">
        <x:v>46090</x:v>
      </x:c>
      <x:c r="D470" s="14" t="str">
        <x:v>Glücksfenster Service GmbH</x:v>
      </x:c>
      <x:c r="E470" s="14" t="str">
        <x:v>Teilnahmeservice GF-90335 / 2026-03</x:v>
      </x:c>
      <x:c r="F470" s="12" t="n">
        <x:v>-29.9</x:v>
      </x:c>
      <x:c r="G470" s="13" t="n">
        <x:v>46090</x:v>
      </x:c>
      <x:c r="H470" s="2" t="str">
        <x:v>02_Konten/GIRO_2026-03.pdf</x:v>
      </x:c>
      <x:c r="I470" s="2" t="str"/>
      <x:c r="J470" s="2" t="str">
        <x:v>B0446</x:v>
      </x:c>
    </x:row>
    <x:row r="471" ht="35" customHeight="1">
      <x:c r="A471" s="2" t="str">
        <x:v>B0447</x:v>
      </x:c>
      <x:c r="B471" s="2" t="str">
        <x:v>GIRO</x:v>
      </x:c>
      <x:c r="C471" s="13" t="n">
        <x:v>46092</x:v>
      </x:c>
      <x:c r="D471" s="14" t="str">
        <x:v>LebensKompass Direkt GmbH</x:v>
      </x:c>
      <x:c r="E471" s="14" t="str">
        <x:v>Digitalpaket LK-55771 / 2026-03</x:v>
      </x:c>
      <x:c r="F471" s="12" t="n">
        <x:v>-69.9</x:v>
      </x:c>
      <x:c r="G471" s="13" t="n">
        <x:v>46092</x:v>
      </x:c>
      <x:c r="H471" s="2" t="str">
        <x:v>02_Konten/GIRO_2026-03.pdf</x:v>
      </x:c>
      <x:c r="I471" s="2" t="str"/>
      <x:c r="J471" s="2" t="str">
        <x:v>B0447</x:v>
      </x:c>
    </x:row>
    <x:row r="472" ht="35" customHeight="1">
      <x:c r="A472" s="2" t="str">
        <x:v>B0439</x:v>
      </x:c>
      <x:c r="B472" s="2" t="str">
        <x:v>GIRO</x:v>
      </x:c>
      <x:c r="C472" s="13" t="n">
        <x:v>46093</x:v>
      </x:c>
      <x:c r="D472" s="14" t="str">
        <x:v>Alltagshilfe Mohnblüte GmbH</x:v>
      </x:c>
      <x:c r="E472" s="14" t="str">
        <x:v>Haushaltshilfe Rechnung MH-2026-03</x:v>
      </x:c>
      <x:c r="F472" s="12" t="n">
        <x:v>-126.5</x:v>
      </x:c>
      <x:c r="G472" s="13" t="n">
        <x:v>46093</x:v>
      </x:c>
      <x:c r="H472" s="2" t="str">
        <x:v>02_Konten/GIRO_2026-03.pdf</x:v>
      </x:c>
      <x:c r="I472" s="2" t="str">
        <x:v>MH-2026-03</x:v>
      </x:c>
      <x:c r="J472" s="2" t="str">
        <x:v>B0439</x:v>
      </x:c>
    </x:row>
    <x:row r="473" ht="35" customHeight="1">
      <x:c r="A473" s="2" t="str">
        <x:v>B0571</x:v>
      </x:c>
      <x:c r="B473" s="2" t="str">
        <x:v>GIRO</x:v>
      </x:c>
      <x:c r="C473" s="13" t="n">
        <x:v>46093</x:v>
      </x:c>
      <x:c r="D473" s="14" t="str">
        <x:v>Nordlicht Energie Berlin GmbH</x:v>
      </x:c>
      <x:c r="E473" s="14" t="str">
        <x:v>Nachzahlung Jahresabrechnung 2025 NE-2025</x:v>
      </x:c>
      <x:c r="F473" s="12" t="n">
        <x:v>-93</x:v>
      </x:c>
      <x:c r="G473" s="13" t="n">
        <x:v>46093</x:v>
      </x:c>
      <x:c r="H473" s="2" t="str">
        <x:v>02_Konten/GIRO_2026-03.pdf</x:v>
      </x:c>
      <x:c r="I473" s="2" t="str">
        <x:v>NE-2025</x:v>
      </x:c>
      <x:c r="J473" s="2" t="str">
        <x:v>B0571</x:v>
      </x:c>
    </x:row>
    <x:row r="474" ht="35" customHeight="1">
      <x:c r="A474" s="2" t="str">
        <x:v>B0440</x:v>
      </x:c>
      <x:c r="B474" s="2" t="str">
        <x:v>GIRO</x:v>
      </x:c>
      <x:c r="C474" s="13" t="n">
        <x:v>46097</x:v>
      </x:c>
      <x:c r="D474" s="14" t="str">
        <x:v>Frischemarkt Karow</x:v>
      </x:c>
      <x:c r="E474" s="14" t="str">
        <x:v>Kartenzahlung Lebensmittel, Belegserie FK 2026-03</x:v>
      </x:c>
      <x:c r="F474" s="12" t="n">
        <x:v>-254.73</x:v>
      </x:c>
      <x:c r="G474" s="13" t="n">
        <x:v>46097</x:v>
      </x:c>
      <x:c r="H474" s="2" t="str">
        <x:v>02_Konten/GIRO_2026-03.pdf</x:v>
      </x:c>
      <x:c r="I474" s="2" t="str"/>
      <x:c r="J474" s="2" t="str">
        <x:v>B0440</x:v>
      </x:c>
    </x:row>
    <x:row r="475" ht="35" customHeight="1">
      <x:c r="A475" s="2" t="str">
        <x:v>B0441</x:v>
      </x:c>
      <x:c r="B475" s="2" t="str">
        <x:v>GIRO</x:v>
      </x:c>
      <x:c r="C475" s="13" t="n">
        <x:v>46097</x:v>
      </x:c>
      <x:c r="D475" s="14" t="str">
        <x:v>Apotheke Silberblatt</x:v>
      </x:c>
      <x:c r="E475" s="14" t="str">
        <x:v>Zuzahlung und Pflegebedarf 2026-03</x:v>
      </x:c>
      <x:c r="F475" s="12" t="n">
        <x:v>-39.27</x:v>
      </x:c>
      <x:c r="G475" s="13" t="n">
        <x:v>46097</x:v>
      </x:c>
      <x:c r="H475" s="2" t="str">
        <x:v>02_Konten/GIRO_2026-03.pdf</x:v>
      </x:c>
      <x:c r="I475" s="2" t="str"/>
      <x:c r="J475" s="2" t="str">
        <x:v>B0441</x:v>
      </x:c>
    </x:row>
    <x:row r="476" ht="35" customHeight="1">
      <x:c r="A476" s="2" t="str">
        <x:v>B0442</x:v>
      </x:c>
      <x:c r="B476" s="2" t="str">
        <x:v>GIRO</x:v>
      </x:c>
      <x:c r="C476" s="13" t="n">
        <x:v>46099</x:v>
      </x:c>
      <x:c r="D476" s="14" t="str">
        <x:v>Geldautomat Karow</x:v>
      </x:c>
      <x:c r="E476" s="14" t="str">
        <x:v>Bargeldauszahlung Karte 0441, Terminal KA-03</x:v>
      </x:c>
      <x:c r="F476" s="12" t="n">
        <x:v>-200</x:v>
      </x:c>
      <x:c r="G476" s="13" t="n">
        <x:v>46099</x:v>
      </x:c>
      <x:c r="H476" s="2" t="str">
        <x:v>02_Konten/GIRO_2026-03.pdf</x:v>
      </x:c>
      <x:c r="I476" s="2" t="str"/>
      <x:c r="J476" s="2" t="str">
        <x:v>B0442</x:v>
      </x:c>
    </x:row>
    <x:row r="477" ht="35" customHeight="1">
      <x:c r="A477" s="2" t="str">
        <x:v>B0449</x:v>
      </x:c>
      <x:c r="B477" s="2" t="str">
        <x:v>GIRO</x:v>
      </x:c>
      <x:c r="C477" s="13" t="n">
        <x:v>46100</x:v>
      </x:c>
      <x:c r="D477" s="14" t="str">
        <x:v>Kirchengemeinde Am Fliederbogen</x:v>
      </x:c>
      <x:c r="E477" s="14" t="str">
        <x:v>Gemeindespende</x:v>
      </x:c>
      <x:c r="F477" s="12" t="n">
        <x:v>-15</x:v>
      </x:c>
      <x:c r="G477" s="13" t="n">
        <x:v>46100</x:v>
      </x:c>
      <x:c r="H477" s="2" t="str">
        <x:v>02_Konten/GIRO_2026-03.pdf</x:v>
      </x:c>
      <x:c r="I477" s="2" t="str"/>
      <x:c r="J477" s="2" t="str">
        <x:v>B0449</x:v>
      </x:c>
    </x:row>
    <x:row r="478" ht="35" customHeight="1">
      <x:c r="A478" s="2" t="str">
        <x:v>B0443</x:v>
      </x:c>
      <x:c r="B478" s="2" t="str">
        <x:v>GIRO</x:v>
      </x:c>
      <x:c r="C478" s="13" t="n">
        <x:v>46101</x:v>
      </x:c>
      <x:c r="D478" s="14" t="str">
        <x:v>Tierladen Pfötchen</x:v>
      </x:c>
      <x:c r="E478" s="14" t="str">
        <x:v>Futter und Streu für Kater Mürbchen</x:v>
      </x:c>
      <x:c r="F478" s="12" t="n">
        <x:v>-48.5</x:v>
      </x:c>
      <x:c r="G478" s="13" t="n">
        <x:v>46101</x:v>
      </x:c>
      <x:c r="H478" s="2" t="str">
        <x:v>02_Konten/GIRO_2026-03.pdf</x:v>
      </x:c>
      <x:c r="I478" s="2" t="str"/>
      <x:c r="J478" s="2" t="str">
        <x:v>B0443</x:v>
      </x:c>
    </x:row>
    <x:row r="479" ht="35" customHeight="1">
      <x:c r="A479" s="2" t="str">
        <x:v>B0444</x:v>
      </x:c>
      <x:c r="B479" s="2" t="str">
        <x:v>GIRO</x:v>
      </x:c>
      <x:c r="C479" s="13" t="n">
        <x:v>46104</x:v>
      </x:c>
      <x:c r="D479" s="14" t="str">
        <x:v>SofaKino Digital GmbH</x:v>
      </x:c>
      <x:c r="E479" s="14" t="str">
        <x:v>Monatsabo SK-77380 / 2026-03</x:v>
      </x:c>
      <x:c r="F479" s="12" t="n">
        <x:v>-12.99</x:v>
      </x:c>
      <x:c r="G479" s="13" t="n">
        <x:v>46104</x:v>
      </x:c>
      <x:c r="H479" s="2" t="str">
        <x:v>02_Konten/GIRO_2026-03.pdf</x:v>
      </x:c>
      <x:c r="I479" s="2" t="str"/>
      <x:c r="J479" s="2" t="str">
        <x:v>B0444</x:v>
      </x:c>
    </x:row>
    <x:row r="480" ht="35" customHeight="1">
      <x:c r="A480" s="2" t="str">
        <x:v>B0450</x:v>
      </x:c>
      <x:c r="B480" s="2" t="str">
        <x:v>GIRO</x:v>
      </x:c>
      <x:c r="C480" s="13" t="n">
        <x:v>46104</x:v>
      </x:c>
      <x:c r="D480" s="14" t="str">
        <x:v>Adelheid Pfister Sparen</x:v>
      </x:c>
      <x:c r="E480" s="14" t="str">
        <x:v>Umbuchung auf eigenes Sparkonto</x:v>
      </x:c>
      <x:c r="F480" s="12" t="n">
        <x:v>-250</x:v>
      </x:c>
      <x:c r="G480" s="13" t="n">
        <x:v>46104</x:v>
      </x:c>
      <x:c r="H480" s="2" t="str">
        <x:v>02_Konten/GIRO_2026-03.pdf</x:v>
      </x:c>
      <x:c r="I480" s="2" t="str"/>
      <x:c r="J480" s="2" t="str">
        <x:v>B0450</x:v>
      </x:c>
    </x:row>
    <x:row r="481" ht="35" customHeight="1">
      <x:c r="A481" s="2" t="str">
        <x:v>B0451</x:v>
      </x:c>
      <x:c r="B481" s="2" t="str">
        <x:v>SPAR</x:v>
      </x:c>
      <x:c r="C481" s="13" t="n">
        <x:v>46104</x:v>
      </x:c>
      <x:c r="D481" s="14" t="str">
        <x:v>Adelheid Pfister Giro</x:v>
      </x:c>
      <x:c r="E481" s="14" t="str">
        <x:v>Umbuchung vom eigenen Girokonto</x:v>
      </x:c>
      <x:c r="F481" s="12" t="n">
        <x:v>250</x:v>
      </x:c>
      <x:c r="G481" s="13" t="n">
        <x:v>46104</x:v>
      </x:c>
      <x:c r="H481" s="2" t="str">
        <x:v>02_Konten/SPAR_2026-03.pdf</x:v>
      </x:c>
      <x:c r="I481" s="2" t="str"/>
      <x:c r="J481" s="2" t="str">
        <x:v>B0451</x:v>
      </x:c>
    </x:row>
    <x:row r="482" ht="35" customHeight="1">
      <x:c r="A482" s="2" t="str">
        <x:v>B0448</x:v>
      </x:c>
      <x:c r="B482" s="2" t="str">
        <x:v>GIRO</x:v>
      </x:c>
      <x:c r="C482" s="13" t="n">
        <x:v>46105</x:v>
      </x:c>
      <x:c r="D482" s="14" t="str">
        <x:v>Egon Knusper</x:v>
      </x:c>
      <x:c r="E482" s="14" t="str">
        <x:v>Pauschale Einkauf und Technik 2026-03</x:v>
      </x:c>
      <x:c r="F482" s="12" t="n">
        <x:v>-145</x:v>
      </x:c>
      <x:c r="G482" s="13" t="n">
        <x:v>46105</x:v>
      </x:c>
      <x:c r="H482" s="2" t="str">
        <x:v>02_Konten/GIRO_2026-03.pdf</x:v>
      </x:c>
      <x:c r="I482" s="2" t="str">
        <x:v>EK-2026-03</x:v>
      </x:c>
      <x:c r="J482" s="2" t="str">
        <x:v>B0448</x:v>
      </x:c>
    </x:row>
    <x:row r="483" ht="35" customHeight="1">
      <x:c r="A483" s="2" t="str">
        <x:v>B0445</x:v>
      </x:c>
      <x:c r="B483" s="2" t="str">
        <x:v>GIRO</x:v>
      </x:c>
      <x:c r="C483" s="13" t="n">
        <x:v>46107</x:v>
      </x:c>
      <x:c r="D483" s="14" t="str">
        <x:v>Fensterbank Spree eG</x:v>
      </x:c>
      <x:c r="E483" s="14" t="str">
        <x:v>Kontoführung 2026-03</x:v>
      </x:c>
      <x:c r="F483" s="12" t="n">
        <x:v>-6.9</x:v>
      </x:c>
      <x:c r="G483" s="13" t="n">
        <x:v>46107</x:v>
      </x:c>
      <x:c r="H483" s="2" t="str">
        <x:v>02_Konten/GIRO_2026-03.pdf</x:v>
      </x:c>
      <x:c r="I483" s="2" t="str"/>
      <x:c r="J483" s="2" t="str">
        <x:v>B0445</x:v>
      </x:c>
    </x:row>
    <x:row r="484" ht="35" customHeight="1">
      <x:c r="A484" s="2" t="str">
        <x:v>B0434</x:v>
      </x:c>
      <x:c r="B484" s="2" t="str">
        <x:v>GIRO</x:v>
      </x:c>
      <x:c r="C484" s="13" t="n">
        <x:v>46111</x:v>
      </x:c>
      <x:c r="D484" s="14" t="str">
        <x:v>Rentenstelle Nord</x:v>
      </x:c>
      <x:c r="E484" s="14" t="str">
        <x:v>Altersrente 2026-03</x:v>
      </x:c>
      <x:c r="F484" s="12" t="n">
        <x:v>2020</x:v>
      </x:c>
      <x:c r="G484" s="13" t="n">
        <x:v>46111</x:v>
      </x:c>
      <x:c r="H484" s="2" t="str">
        <x:v>02_Konten/GIRO_2026-03.pdf</x:v>
      </x:c>
      <x:c r="I484" s="2" t="str"/>
      <x:c r="J484" s="2" t="str">
        <x:v>B0434</x:v>
      </x:c>
    </x:row>
    <x:row r="485" ht="35" customHeight="1">
      <x:c r="A485" s="2" t="str">
        <x:v>B0435</x:v>
      </x:c>
      <x:c r="B485" s="2" t="str">
        <x:v>GIRO</x:v>
      </x:c>
      <x:c r="C485" s="13" t="n">
        <x:v>46111</x:v>
      </x:c>
      <x:c r="D485" s="14" t="str">
        <x:v>Rentenstelle Nord</x:v>
      </x:c>
      <x:c r="E485" s="14" t="str">
        <x:v>Hinterbliebenenrente 2026-03</x:v>
      </x:c>
      <x:c r="F485" s="12" t="n">
        <x:v>485</x:v>
      </x:c>
      <x:c r="G485" s="13" t="n">
        <x:v>46111</x:v>
      </x:c>
      <x:c r="H485" s="2" t="str">
        <x:v>02_Konten/GIRO_2026-03.pdf</x:v>
      </x:c>
      <x:c r="I485" s="2" t="str"/>
      <x:c r="J485" s="2" t="str">
        <x:v>B0435</x:v>
      </x:c>
    </x:row>
    <x:row r="486" ht="35" customHeight="1">
      <x:c r="A486" s="2" t="str">
        <x:v>B0454</x:v>
      </x:c>
      <x:c r="B486" s="2" t="str">
        <x:v>GIRO</x:v>
      </x:c>
      <x:c r="C486" s="13" t="n">
        <x:v>46115</x:v>
      </x:c>
      <x:c r="D486" s="14" t="str">
        <x:v>Hausverwaltung Lindenblatt KG</x:v>
      </x:c>
      <x:c r="E486" s="14" t="str">
        <x:v>Warmmiete Fliederbogen 17 / 2026-04</x:v>
      </x:c>
      <x:c r="F486" s="12" t="n">
        <x:v>-820</x:v>
      </x:c>
      <x:c r="G486" s="13" t="n">
        <x:v>46115</x:v>
      </x:c>
      <x:c r="H486" s="2" t="str">
        <x:v>02_Konten/GIRO_2026-04.pdf</x:v>
      </x:c>
      <x:c r="I486" s="2" t="str"/>
      <x:c r="J486" s="2" t="str">
        <x:v>B0454</x:v>
      </x:c>
    </x:row>
    <x:row r="487" ht="35" customHeight="1">
      <x:c r="A487" s="2" t="str">
        <x:v>B0455</x:v>
      </x:c>
      <x:c r="B487" s="2" t="str">
        <x:v>GIRO</x:v>
      </x:c>
      <x:c r="C487" s="13" t="n">
        <x:v>46118</x:v>
      </x:c>
      <x:c r="D487" s="14" t="str">
        <x:v>Nordlicht Energie Berlin GmbH</x:v>
      </x:c>
      <x:c r="E487" s="14" t="str">
        <x:v>Abschlag Kundennummer NE-48017 / 2026-04</x:v>
      </x:c>
      <x:c r="F487" s="12" t="n">
        <x:v>-79</x:v>
      </x:c>
      <x:c r="G487" s="13" t="n">
        <x:v>46118</x:v>
      </x:c>
      <x:c r="H487" s="2" t="str">
        <x:v>02_Konten/GIRO_2026-04.pdf</x:v>
      </x:c>
      <x:c r="I487" s="2" t="str"/>
      <x:c r="J487" s="2" t="str">
        <x:v>B0455</x:v>
      </x:c>
    </x:row>
    <x:row r="488" ht="35" customHeight="1">
      <x:c r="A488" s="2" t="str">
        <x:v>B0456</x:v>
      </x:c>
      <x:c r="B488" s="2" t="str">
        <x:v>GIRO</x:v>
      </x:c>
      <x:c r="C488" s="13" t="n">
        <x:v>46120</x:v>
      </x:c>
      <x:c r="D488" s="14" t="str">
        <x:v>Sprechfink Telekom GmbH</x:v>
      </x:c>
      <x:c r="E488" s="14" t="str">
        <x:v>Festnetz und Internet SP-118044 / 2026-04</x:v>
      </x:c>
      <x:c r="F488" s="12" t="n">
        <x:v>-44.99</x:v>
      </x:c>
      <x:c r="G488" s="13" t="n">
        <x:v>46120</x:v>
      </x:c>
      <x:c r="H488" s="2" t="str">
        <x:v>02_Konten/GIRO_2026-04.pdf</x:v>
      </x:c>
      <x:c r="I488" s="2" t="str">
        <x:v>TEL-2026-04</x:v>
      </x:c>
      <x:c r="J488" s="2" t="str">
        <x:v>B0456</x:v>
      </x:c>
    </x:row>
    <x:row r="489" ht="35" customHeight="1">
      <x:c r="A489" s="2" t="str">
        <x:v>B0464</x:v>
      </x:c>
      <x:c r="B489" s="2" t="str">
        <x:v>GIRO</x:v>
      </x:c>
      <x:c r="C489" s="13" t="n">
        <x:v>46121</x:v>
      </x:c>
      <x:c r="D489" s="14" t="str">
        <x:v>Glücksfenster Service GmbH</x:v>
      </x:c>
      <x:c r="E489" s="14" t="str">
        <x:v>Teilnahmeservice GF-90335 / 2026-04</x:v>
      </x:c>
      <x:c r="F489" s="12" t="n">
        <x:v>-29.9</x:v>
      </x:c>
      <x:c r="G489" s="13" t="n">
        <x:v>46121</x:v>
      </x:c>
      <x:c r="H489" s="2" t="str">
        <x:v>02_Konten/GIRO_2026-04.pdf</x:v>
      </x:c>
      <x:c r="I489" s="2" t="str"/>
      <x:c r="J489" s="2" t="str">
        <x:v>B0464</x:v>
      </x:c>
    </x:row>
    <x:row r="490" ht="35" customHeight="1">
      <x:c r="A490" s="2" t="str">
        <x:v>B0572</x:v>
      </x:c>
      <x:c r="B490" s="2" t="str">
        <x:v>GIRO</x:v>
      </x:c>
      <x:c r="C490" s="13" t="n">
        <x:v>46121</x:v>
      </x:c>
      <x:c r="D490" s="14" t="str">
        <x:v>Egon Knusper</x:v>
      </x:c>
      <x:c r="E490" s="14" t="str">
        <x:v>Ersatz Handy und Datenumzug</x:v>
      </x:c>
      <x:c r="F490" s="12" t="n">
        <x:v>-350</x:v>
      </x:c>
      <x:c r="G490" s="13" t="n">
        <x:v>46121</x:v>
      </x:c>
      <x:c r="H490" s="2" t="str">
        <x:v>02_Konten/GIRO_2026-04.pdf</x:v>
      </x:c>
      <x:c r="I490" s="2" t="str"/>
      <x:c r="J490" s="2" t="str">
        <x:v>B0572</x:v>
      </x:c>
    </x:row>
    <x:row r="491" ht="35" customHeight="1">
      <x:c r="A491" s="2" t="str">
        <x:v>B0457</x:v>
      </x:c>
      <x:c r="B491" s="2" t="str">
        <x:v>GIRO</x:v>
      </x:c>
      <x:c r="C491" s="13" t="n">
        <x:v>46125</x:v>
      </x:c>
      <x:c r="D491" s="14" t="str">
        <x:v>Alltagshilfe Mohnblüte GmbH</x:v>
      </x:c>
      <x:c r="E491" s="14" t="str">
        <x:v>Haushaltshilfe Rechnung MH-2026-04</x:v>
      </x:c>
      <x:c r="F491" s="12" t="n">
        <x:v>-126.5</x:v>
      </x:c>
      <x:c r="G491" s="13" t="n">
        <x:v>46125</x:v>
      </x:c>
      <x:c r="H491" s="2" t="str">
        <x:v>02_Konten/GIRO_2026-04.pdf</x:v>
      </x:c>
      <x:c r="I491" s="2" t="str">
        <x:v>MH-2026-04</x:v>
      </x:c>
      <x:c r="J491" s="2" t="str">
        <x:v>B0457</x:v>
      </x:c>
    </x:row>
    <x:row r="492" ht="35" customHeight="1">
      <x:c r="A492" s="2" t="str">
        <x:v>B0465</x:v>
      </x:c>
      <x:c r="B492" s="2" t="str">
        <x:v>GIRO</x:v>
      </x:c>
      <x:c r="C492" s="13" t="n">
        <x:v>46125</x:v>
      </x:c>
      <x:c r="D492" s="14" t="str">
        <x:v>LebensKompass Direkt GmbH</x:v>
      </x:c>
      <x:c r="E492" s="14" t="str">
        <x:v>Digitalpaket LK-55771 / 2026-04</x:v>
      </x:c>
      <x:c r="F492" s="12" t="n">
        <x:v>-69.9</x:v>
      </x:c>
      <x:c r="G492" s="13" t="n">
        <x:v>46125</x:v>
      </x:c>
      <x:c r="H492" s="2" t="str">
        <x:v>02_Konten/GIRO_2026-04.pdf</x:v>
      </x:c>
      <x:c r="I492" s="2" t="str"/>
      <x:c r="J492" s="2" t="str">
        <x:v>B0465</x:v>
      </x:c>
    </x:row>
    <x:row r="493" ht="35" customHeight="1">
      <x:c r="A493" s="2" t="str">
        <x:v>B0458</x:v>
      </x:c>
      <x:c r="B493" s="2" t="str">
        <x:v>GIRO</x:v>
      </x:c>
      <x:c r="C493" s="13" t="n">
        <x:v>46126</x:v>
      </x:c>
      <x:c r="D493" s="14" t="str">
        <x:v>Frischemarkt Karow</x:v>
      </x:c>
      <x:c r="E493" s="14" t="str">
        <x:v>Kartenzahlung Lebensmittel, Belegserie FK 2026-04</x:v>
      </x:c>
      <x:c r="F493" s="12" t="n">
        <x:v>-256.1</x:v>
      </x:c>
      <x:c r="G493" s="13" t="n">
        <x:v>46126</x:v>
      </x:c>
      <x:c r="H493" s="2" t="str">
        <x:v>02_Konten/GIRO_2026-04.pdf</x:v>
      </x:c>
      <x:c r="I493" s="2" t="str"/>
      <x:c r="J493" s="2" t="str">
        <x:v>B0458</x:v>
      </x:c>
    </x:row>
    <x:row r="494" ht="35" customHeight="1">
      <x:c r="A494" s="2" t="str">
        <x:v>B0459</x:v>
      </x:c>
      <x:c r="B494" s="2" t="str">
        <x:v>GIRO</x:v>
      </x:c>
      <x:c r="C494" s="13" t="n">
        <x:v>46127</x:v>
      </x:c>
      <x:c r="D494" s="14" t="str">
        <x:v>Apotheke Silberblatt</x:v>
      </x:c>
      <x:c r="E494" s="14" t="str">
        <x:v>Zuzahlung und Pflegebedarf 2026-04</x:v>
      </x:c>
      <x:c r="F494" s="12" t="n">
        <x:v>-40.4</x:v>
      </x:c>
      <x:c r="G494" s="13" t="n">
        <x:v>46127</x:v>
      </x:c>
      <x:c r="H494" s="2" t="str">
        <x:v>02_Konten/GIRO_2026-04.pdf</x:v>
      </x:c>
      <x:c r="I494" s="2" t="str">
        <x:v>AP-2026-04</x:v>
      </x:c>
      <x:c r="J494" s="2" t="str">
        <x:v>B0459</x:v>
      </x:c>
    </x:row>
    <x:row r="495" ht="35" customHeight="1">
      <x:c r="A495" s="2" t="str">
        <x:v>B0460</x:v>
      </x:c>
      <x:c r="B495" s="2" t="str">
        <x:v>GIRO</x:v>
      </x:c>
      <x:c r="C495" s="13" t="n">
        <x:v>46132</x:v>
      </x:c>
      <x:c r="D495" s="14" t="str">
        <x:v>Geldautomat Karow</x:v>
      </x:c>
      <x:c r="E495" s="14" t="str">
        <x:v>Bargeldauszahlung Karte 0441, Terminal KA-03</x:v>
      </x:c>
      <x:c r="F495" s="12" t="n">
        <x:v>-200</x:v>
      </x:c>
      <x:c r="G495" s="13" t="n">
        <x:v>46132</x:v>
      </x:c>
      <x:c r="H495" s="2" t="str">
        <x:v>02_Konten/GIRO_2026-04.pdf</x:v>
      </x:c>
      <x:c r="I495" s="2" t="str"/>
      <x:c r="J495" s="2" t="str">
        <x:v>B0460</x:v>
      </x:c>
    </x:row>
    <x:row r="496" ht="35" customHeight="1">
      <x:c r="A496" s="2" t="str">
        <x:v>B0461</x:v>
      </x:c>
      <x:c r="B496" s="2" t="str">
        <x:v>GIRO</x:v>
      </x:c>
      <x:c r="C496" s="13" t="n">
        <x:v>46132</x:v>
      </x:c>
      <x:c r="D496" s="14" t="str">
        <x:v>Tierladen Pfötchen</x:v>
      </x:c>
      <x:c r="E496" s="14" t="str">
        <x:v>Futter und Streu für Kater Mürbchen</x:v>
      </x:c>
      <x:c r="F496" s="12" t="n">
        <x:v>-48.5</x:v>
      </x:c>
      <x:c r="G496" s="13" t="n">
        <x:v>46132</x:v>
      </x:c>
      <x:c r="H496" s="2" t="str">
        <x:v>02_Konten/GIRO_2026-04.pdf</x:v>
      </x:c>
      <x:c r="I496" s="2" t="str"/>
      <x:c r="J496" s="2" t="str">
        <x:v>B0461</x:v>
      </x:c>
    </x:row>
    <x:row r="497" ht="35" customHeight="1">
      <x:c r="A497" s="2" t="str">
        <x:v>B0462</x:v>
      </x:c>
      <x:c r="B497" s="2" t="str">
        <x:v>GIRO</x:v>
      </x:c>
      <x:c r="C497" s="13" t="n">
        <x:v>46134</x:v>
      </x:c>
      <x:c r="D497" s="14" t="str">
        <x:v>SofaKino Digital GmbH</x:v>
      </x:c>
      <x:c r="E497" s="14" t="str">
        <x:v>Monatsabo SK-77380 / 2026-04</x:v>
      </x:c>
      <x:c r="F497" s="12" t="n">
        <x:v>-12.99</x:v>
      </x:c>
      <x:c r="G497" s="13" t="n">
        <x:v>46134</x:v>
      </x:c>
      <x:c r="H497" s="2" t="str">
        <x:v>02_Konten/GIRO_2026-04.pdf</x:v>
      </x:c>
      <x:c r="I497" s="2" t="str"/>
      <x:c r="J497" s="2" t="str">
        <x:v>B0462</x:v>
      </x:c>
    </x:row>
    <x:row r="498" ht="35" customHeight="1">
      <x:c r="A498" s="2" t="str">
        <x:v>B0466</x:v>
      </x:c>
      <x:c r="B498" s="2" t="str">
        <x:v>GIRO</x:v>
      </x:c>
      <x:c r="C498" s="13" t="n">
        <x:v>46136</x:v>
      </x:c>
      <x:c r="D498" s="14" t="str">
        <x:v>Egon Knusper</x:v>
      </x:c>
      <x:c r="E498" s="14" t="str">
        <x:v>Pauschale Einkauf und Technik 2026-04</x:v>
      </x:c>
      <x:c r="F498" s="12" t="n">
        <x:v>-145</x:v>
      </x:c>
      <x:c r="G498" s="13" t="n">
        <x:v>46136</x:v>
      </x:c>
      <x:c r="H498" s="2" t="str">
        <x:v>02_Konten/GIRO_2026-04.pdf</x:v>
      </x:c>
      <x:c r="I498" s="2" t="str">
        <x:v>EK-2026-04</x:v>
      </x:c>
      <x:c r="J498" s="2" t="str">
        <x:v>B0466</x:v>
      </x:c>
    </x:row>
    <x:row r="499" ht="35" customHeight="1">
      <x:c r="A499" s="2" t="str">
        <x:v>B0463</x:v>
      </x:c>
      <x:c r="B499" s="2" t="str">
        <x:v>GIRO</x:v>
      </x:c>
      <x:c r="C499" s="13" t="n">
        <x:v>46139</x:v>
      </x:c>
      <x:c r="D499" s="14" t="str">
        <x:v>Fensterbank Spree eG</x:v>
      </x:c>
      <x:c r="E499" s="14" t="str">
        <x:v>Kontoführung 2026-04</x:v>
      </x:c>
      <x:c r="F499" s="12" t="n">
        <x:v>-6.9</x:v>
      </x:c>
      <x:c r="G499" s="13" t="n">
        <x:v>46139</x:v>
      </x:c>
      <x:c r="H499" s="2" t="str">
        <x:v>02_Konten/GIRO_2026-04.pdf</x:v>
      </x:c>
      <x:c r="I499" s="2" t="str"/>
      <x:c r="J499" s="2" t="str">
        <x:v>B0463</x:v>
      </x:c>
    </x:row>
    <x:row r="500" ht="35" customHeight="1">
      <x:c r="A500" s="2" t="str">
        <x:v>B0452</x:v>
      </x:c>
      <x:c r="B500" s="2" t="str">
        <x:v>GIRO</x:v>
      </x:c>
      <x:c r="C500" s="13" t="n">
        <x:v>46140</x:v>
      </x:c>
      <x:c r="D500" s="14" t="str">
        <x:v>Rentenstelle Nord</x:v>
      </x:c>
      <x:c r="E500" s="14" t="str">
        <x:v>Altersrente 2026-04</x:v>
      </x:c>
      <x:c r="F500" s="12" t="n">
        <x:v>2020</x:v>
      </x:c>
      <x:c r="G500" s="13" t="n">
        <x:v>46140</x:v>
      </x:c>
      <x:c r="H500" s="2" t="str">
        <x:v>02_Konten/GIRO_2026-04.pdf</x:v>
      </x:c>
      <x:c r="I500" s="2" t="str"/>
      <x:c r="J500" s="2" t="str">
        <x:v>B0452</x:v>
      </x:c>
    </x:row>
    <x:row r="501" ht="35" customHeight="1">
      <x:c r="A501" s="2" t="str">
        <x:v>B0453</x:v>
      </x:c>
      <x:c r="B501" s="2" t="str">
        <x:v>GIRO</x:v>
      </x:c>
      <x:c r="C501" s="13" t="n">
        <x:v>46140</x:v>
      </x:c>
      <x:c r="D501" s="14" t="str">
        <x:v>Rentenstelle Nord</x:v>
      </x:c>
      <x:c r="E501" s="14" t="str">
        <x:v>Hinterbliebenenrente 2026-04</x:v>
      </x:c>
      <x:c r="F501" s="12" t="n">
        <x:v>485</x:v>
      </x:c>
      <x:c r="G501" s="13" t="n">
        <x:v>46140</x:v>
      </x:c>
      <x:c r="H501" s="2" t="str">
        <x:v>02_Konten/GIRO_2026-04.pdf</x:v>
      </x:c>
      <x:c r="I501" s="2" t="str"/>
      <x:c r="J501" s="2" t="str">
        <x:v>B0453</x:v>
      </x:c>
    </x:row>
    <x:row r="502" ht="35" customHeight="1">
      <x:c r="A502" s="2" t="str">
        <x:v>B0469</x:v>
      </x:c>
      <x:c r="B502" s="2" t="str">
        <x:v>GIRO</x:v>
      </x:c>
      <x:c r="C502" s="13" t="n">
        <x:v>46146</x:v>
      </x:c>
      <x:c r="D502" s="14" t="str">
        <x:v>Hausverwaltung Lindenblatt KG</x:v>
      </x:c>
      <x:c r="E502" s="14" t="str">
        <x:v>Warmmiete Fliederbogen 17 / 2026-05</x:v>
      </x:c>
      <x:c r="F502" s="12" t="n">
        <x:v>-820</x:v>
      </x:c>
      <x:c r="G502" s="13" t="n">
        <x:v>46146</x:v>
      </x:c>
      <x:c r="H502" s="2" t="str">
        <x:v>02_Konten/GIRO_2026-05.pdf</x:v>
      </x:c>
      <x:c r="I502" s="2" t="str"/>
      <x:c r="J502" s="2" t="str">
        <x:v>B0469</x:v>
      </x:c>
    </x:row>
    <x:row r="503" ht="35" customHeight="1">
      <x:c r="A503" s="2" t="str">
        <x:v>B0470</x:v>
      </x:c>
      <x:c r="B503" s="2" t="str">
        <x:v>GIRO</x:v>
      </x:c>
      <x:c r="C503" s="13" t="n">
        <x:v>46148</x:v>
      </x:c>
      <x:c r="D503" s="14" t="str">
        <x:v>Nordlicht Energie Berlin GmbH</x:v>
      </x:c>
      <x:c r="E503" s="14" t="str">
        <x:v>Abschlag Kundennummer NE-48017 / 2026-05</x:v>
      </x:c>
      <x:c r="F503" s="12" t="n">
        <x:v>-79</x:v>
      </x:c>
      <x:c r="G503" s="13" t="n">
        <x:v>46148</x:v>
      </x:c>
      <x:c r="H503" s="2" t="str">
        <x:v>02_Konten/GIRO_2026-05.pdf</x:v>
      </x:c>
      <x:c r="I503" s="2" t="str"/>
      <x:c r="J503" s="2" t="str">
        <x:v>B0470</x:v>
      </x:c>
    </x:row>
    <x:row r="504" ht="35" customHeight="1">
      <x:c r="A504" s="2" t="str">
        <x:v>B0471</x:v>
      </x:c>
      <x:c r="B504" s="2" t="str">
        <x:v>GIRO</x:v>
      </x:c>
      <x:c r="C504" s="13" t="n">
        <x:v>46150</x:v>
      </x:c>
      <x:c r="D504" s="14" t="str">
        <x:v>Sprechfink Telekom GmbH</x:v>
      </x:c>
      <x:c r="E504" s="14" t="str">
        <x:v>Festnetz und Internet SP-118044 / 2026-05</x:v>
      </x:c>
      <x:c r="F504" s="12" t="n">
        <x:v>-44.99</x:v>
      </x:c>
      <x:c r="G504" s="13" t="n">
        <x:v>46150</x:v>
      </x:c>
      <x:c r="H504" s="2" t="str">
        <x:v>02_Konten/GIRO_2026-05.pdf</x:v>
      </x:c>
      <x:c r="I504" s="2" t="str">
        <x:v>TEL-2026-05</x:v>
      </x:c>
      <x:c r="J504" s="2" t="str">
        <x:v>B0471</x:v>
      </x:c>
    </x:row>
    <x:row r="505" ht="35" customHeight="1">
      <x:c r="A505" s="2" t="str">
        <x:v>B0479</x:v>
      </x:c>
      <x:c r="B505" s="2" t="str">
        <x:v>GIRO</x:v>
      </x:c>
      <x:c r="C505" s="13" t="n">
        <x:v>46153</x:v>
      </x:c>
      <x:c r="D505" s="14" t="str">
        <x:v>Glücksfenster Service GmbH</x:v>
      </x:c>
      <x:c r="E505" s="14" t="str">
        <x:v>Teilnahmeservice GF-90335 / 2026-05</x:v>
      </x:c>
      <x:c r="F505" s="12" t="n">
        <x:v>-29.9</x:v>
      </x:c>
      <x:c r="G505" s="13" t="n">
        <x:v>46153</x:v>
      </x:c>
      <x:c r="H505" s="2" t="str">
        <x:v>02_Konten/GIRO_2026-05.pdf</x:v>
      </x:c>
      <x:c r="I505" s="2" t="str"/>
      <x:c r="J505" s="2" t="str">
        <x:v>B0479</x:v>
      </x:c>
    </x:row>
    <x:row r="506" ht="35" customHeight="1">
      <x:c r="A506" s="2" t="str">
        <x:v>B0480</x:v>
      </x:c>
      <x:c r="B506" s="2" t="str">
        <x:v>GIRO</x:v>
      </x:c>
      <x:c r="C506" s="13" t="n">
        <x:v>46153</x:v>
      </x:c>
      <x:c r="D506" s="14" t="str">
        <x:v>LebensKompass Direkt GmbH</x:v>
      </x:c>
      <x:c r="E506" s="14" t="str">
        <x:v>Digitalpaket LK-55771 / 2026-05</x:v>
      </x:c>
      <x:c r="F506" s="12" t="n">
        <x:v>-69.9</x:v>
      </x:c>
      <x:c r="G506" s="13" t="n">
        <x:v>46153</x:v>
      </x:c>
      <x:c r="H506" s="2" t="str">
        <x:v>02_Konten/GIRO_2026-05.pdf</x:v>
      </x:c>
      <x:c r="I506" s="2" t="str"/>
      <x:c r="J506" s="2" t="str">
        <x:v>B0480</x:v>
      </x:c>
    </x:row>
    <x:row r="507" ht="35" customHeight="1">
      <x:c r="A507" s="2" t="str">
        <x:v>B0472</x:v>
      </x:c>
      <x:c r="B507" s="2" t="str">
        <x:v>GIRO</x:v>
      </x:c>
      <x:c r="C507" s="13" t="n">
        <x:v>46154</x:v>
      </x:c>
      <x:c r="D507" s="14" t="str">
        <x:v>Alltagshilfe Mohnblüte GmbH</x:v>
      </x:c>
      <x:c r="E507" s="14" t="str">
        <x:v>Haushaltshilfe Rechnung MH-2026-05</x:v>
      </x:c>
      <x:c r="F507" s="12" t="n">
        <x:v>-126.5</x:v>
      </x:c>
      <x:c r="G507" s="13" t="n">
        <x:v>46154</x:v>
      </x:c>
      <x:c r="H507" s="2" t="str">
        <x:v>02_Konten/GIRO_2026-05.pdf</x:v>
      </x:c>
      <x:c r="I507" s="2" t="str">
        <x:v>MH-2026-05</x:v>
      </x:c>
      <x:c r="J507" s="2" t="str">
        <x:v>B0472</x:v>
      </x:c>
    </x:row>
    <x:row r="508" ht="35" customHeight="1">
      <x:c r="A508" s="2" t="str">
        <x:v>B0584</x:v>
      </x:c>
      <x:c r="B508" s="2" t="str">
        <x:v>GIRO</x:v>
      </x:c>
      <x:c r="C508" s="13" t="n">
        <x:v>46155</x:v>
      </x:c>
      <x:c r="D508" s="14" t="str">
        <x:v>Adelheid Pfister Sparen</x:v>
      </x:c>
      <x:c r="E508" s="14" t="str">
        <x:v>Umbuchung vom eigenen Sparkonto</x:v>
      </x:c>
      <x:c r="F508" s="12" t="n">
        <x:v>1500</x:v>
      </x:c>
      <x:c r="G508" s="13" t="n">
        <x:v>46155</x:v>
      </x:c>
      <x:c r="H508" s="2" t="str">
        <x:v>02_Konten/GIRO_2026-05.pdf</x:v>
      </x:c>
      <x:c r="I508" s="2" t="str"/>
      <x:c r="J508" s="2" t="str">
        <x:v>B0584</x:v>
      </x:c>
    </x:row>
    <x:row r="509" ht="35" customHeight="1">
      <x:c r="A509" s="2" t="str">
        <x:v>B0583</x:v>
      </x:c>
      <x:c r="B509" s="2" t="str">
        <x:v>SPAR</x:v>
      </x:c>
      <x:c r="C509" s="13" t="n">
        <x:v>46155</x:v>
      </x:c>
      <x:c r="D509" s="14" t="str">
        <x:v>Adelheid Pfister Giro</x:v>
      </x:c>
      <x:c r="E509" s="14" t="str">
        <x:v>Umbuchung auf eigenes Girokonto</x:v>
      </x:c>
      <x:c r="F509" s="12" t="n">
        <x:v>-1500</x:v>
      </x:c>
      <x:c r="G509" s="13" t="n">
        <x:v>46155</x:v>
      </x:c>
      <x:c r="H509" s="2" t="str">
        <x:v>02_Konten/SPAR_2026-05.pdf</x:v>
      </x:c>
      <x:c r="I509" s="2" t="str"/>
      <x:c r="J509" s="2" t="str">
        <x:v>B0583</x:v>
      </x:c>
    </x:row>
    <x:row r="510" ht="35" customHeight="1">
      <x:c r="A510" s="2" t="str">
        <x:v>B0473</x:v>
      </x:c>
      <x:c r="B510" s="2" t="str">
        <x:v>GIRO</x:v>
      </x:c>
      <x:c r="C510" s="13" t="n">
        <x:v>46156</x:v>
      </x:c>
      <x:c r="D510" s="14" t="str">
        <x:v>Frischemarkt Karow</x:v>
      </x:c>
      <x:c r="E510" s="14" t="str">
        <x:v>Kartenzahlung Lebensmittel, Belegserie FK 2026-05</x:v>
      </x:c>
      <x:c r="F510" s="12" t="n">
        <x:v>-257.47</x:v>
      </x:c>
      <x:c r="G510" s="13" t="n">
        <x:v>46156</x:v>
      </x:c>
      <x:c r="H510" s="2" t="str">
        <x:v>02_Konten/GIRO_2026-05.pdf</x:v>
      </x:c>
      <x:c r="I510" s="2" t="str"/>
      <x:c r="J510" s="2" t="str">
        <x:v>B0473</x:v>
      </x:c>
    </x:row>
    <x:row r="511" ht="35" customHeight="1">
      <x:c r="A511" s="2" t="str">
        <x:v>B0573</x:v>
      </x:c>
      <x:c r="B511" s="2" t="str">
        <x:v>GIRO</x:v>
      </x:c>
      <x:c r="C511" s="13" t="n">
        <x:v>46156</x:v>
      </x:c>
      <x:c r="D511" s="14" t="str">
        <x:v>Ruprecht Pfister</x:v>
      </x:c>
      <x:c r="E511" s="14" t="str">
        <x:v>nochmal überbrücken, wie besprochen</x:v>
      </x:c>
      <x:c r="F511" s="12" t="n">
        <x:v>-1200</x:v>
      </x:c>
      <x:c r="G511" s="13" t="n">
        <x:v>46156</x:v>
      </x:c>
      <x:c r="H511" s="2" t="str">
        <x:v>02_Konten/GIRO_2026-05.pdf</x:v>
      </x:c>
      <x:c r="I511" s="2" t="str"/>
      <x:c r="J511" s="2" t="str">
        <x:v>B0573</x:v>
      </x:c>
    </x:row>
    <x:row r="512" ht="35" customHeight="1">
      <x:c r="A512" s="2" t="str">
        <x:v>B0474</x:v>
      </x:c>
      <x:c r="B512" s="2" t="str">
        <x:v>GIRO</x:v>
      </x:c>
      <x:c r="C512" s="13" t="n">
        <x:v>46157</x:v>
      </x:c>
      <x:c r="D512" s="14" t="str">
        <x:v>Apotheke Silberblatt</x:v>
      </x:c>
      <x:c r="E512" s="14" t="str">
        <x:v>Zuzahlung und Pflegebedarf 2026-05</x:v>
      </x:c>
      <x:c r="F512" s="12" t="n">
        <x:v>-41.53</x:v>
      </x:c>
      <x:c r="G512" s="13" t="n">
        <x:v>46157</x:v>
      </x:c>
      <x:c r="H512" s="2" t="str">
        <x:v>02_Konten/GIRO_2026-05.pdf</x:v>
      </x:c>
      <x:c r="I512" s="2" t="str"/>
      <x:c r="J512" s="2" t="str">
        <x:v>B0474</x:v>
      </x:c>
    </x:row>
    <x:row r="513" ht="35" customHeight="1">
      <x:c r="A513" s="2" t="str">
        <x:v>B0475</x:v>
      </x:c>
      <x:c r="B513" s="2" t="str">
        <x:v>GIRO</x:v>
      </x:c>
      <x:c r="C513" s="13" t="n">
        <x:v>46160</x:v>
      </x:c>
      <x:c r="D513" s="14" t="str">
        <x:v>Geldautomat Karow</x:v>
      </x:c>
      <x:c r="E513" s="14" t="str">
        <x:v>Bargeldauszahlung Karte 0441, Terminal KA-03</x:v>
      </x:c>
      <x:c r="F513" s="12" t="n">
        <x:v>-200</x:v>
      </x:c>
      <x:c r="G513" s="13" t="n">
        <x:v>46160</x:v>
      </x:c>
      <x:c r="H513" s="2" t="str">
        <x:v>02_Konten/GIRO_2026-05.pdf</x:v>
      </x:c>
      <x:c r="I513" s="2" t="str"/>
      <x:c r="J513" s="2" t="str">
        <x:v>B0475</x:v>
      </x:c>
    </x:row>
    <x:row r="514" ht="35" customHeight="1">
      <x:c r="A514" s="2" t="str">
        <x:v>B0476</x:v>
      </x:c>
      <x:c r="B514" s="2" t="str">
        <x:v>GIRO</x:v>
      </x:c>
      <x:c r="C514" s="13" t="n">
        <x:v>46162</x:v>
      </x:c>
      <x:c r="D514" s="14" t="str">
        <x:v>Tierladen Pfötchen</x:v>
      </x:c>
      <x:c r="E514" s="14" t="str">
        <x:v>Futter und Streu für Kater Mürbchen</x:v>
      </x:c>
      <x:c r="F514" s="12" t="n">
        <x:v>-48.5</x:v>
      </x:c>
      <x:c r="G514" s="13" t="n">
        <x:v>46162</x:v>
      </x:c>
      <x:c r="H514" s="2" t="str">
        <x:v>02_Konten/GIRO_2026-05.pdf</x:v>
      </x:c>
      <x:c r="I514" s="2" t="str"/>
      <x:c r="J514" s="2" t="str">
        <x:v>B0476</x:v>
      </x:c>
    </x:row>
    <x:row r="515" ht="35" customHeight="1">
      <x:c r="A515" s="2" t="str">
        <x:v>B0477</x:v>
      </x:c>
      <x:c r="B515" s="2" t="str">
        <x:v>GIRO</x:v>
      </x:c>
      <x:c r="C515" s="13" t="n">
        <x:v>46164</x:v>
      </x:c>
      <x:c r="D515" s="14" t="str">
        <x:v>SofaKino Digital GmbH</x:v>
      </x:c>
      <x:c r="E515" s="14" t="str">
        <x:v>Monatsabo SK-77380 / 2026-05</x:v>
      </x:c>
      <x:c r="F515" s="12" t="n">
        <x:v>-12.99</x:v>
      </x:c>
      <x:c r="G515" s="13" t="n">
        <x:v>46164</x:v>
      </x:c>
      <x:c r="H515" s="2" t="str">
        <x:v>02_Konten/GIRO_2026-05.pdf</x:v>
      </x:c>
      <x:c r="I515" s="2" t="str"/>
      <x:c r="J515" s="2" t="str">
        <x:v>B0477</x:v>
      </x:c>
    </x:row>
    <x:row r="516" ht="35" customHeight="1">
      <x:c r="A516" s="2" t="str">
        <x:v>B0481</x:v>
      </x:c>
      <x:c r="B516" s="2" t="str">
        <x:v>GIRO</x:v>
      </x:c>
      <x:c r="C516" s="13" t="n">
        <x:v>46167</x:v>
      </x:c>
      <x:c r="D516" s="14" t="str">
        <x:v>Egon Knusper</x:v>
      </x:c>
      <x:c r="E516" s="14" t="str">
        <x:v>Pauschale Einkauf und Technik 2026-05</x:v>
      </x:c>
      <x:c r="F516" s="12" t="n">
        <x:v>-145</x:v>
      </x:c>
      <x:c r="G516" s="13" t="n">
        <x:v>46167</x:v>
      </x:c>
      <x:c r="H516" s="2" t="str">
        <x:v>02_Konten/GIRO_2026-05.pdf</x:v>
      </x:c>
      <x:c r="I516" s="2" t="str">
        <x:v>EK-2026-05</x:v>
      </x:c>
      <x:c r="J516" s="2" t="str">
        <x:v>B0481</x:v>
      </x:c>
    </x:row>
    <x:row r="517" ht="35" customHeight="1">
      <x:c r="A517" s="2" t="str">
        <x:v>B0478</x:v>
      </x:c>
      <x:c r="B517" s="2" t="str">
        <x:v>GIRO</x:v>
      </x:c>
      <x:c r="C517" s="13" t="n">
        <x:v>46168</x:v>
      </x:c>
      <x:c r="D517" s="14" t="str">
        <x:v>Fensterbank Spree eG</x:v>
      </x:c>
      <x:c r="E517" s="14" t="str">
        <x:v>Kontoführung 2026-05</x:v>
      </x:c>
      <x:c r="F517" s="12" t="n">
        <x:v>-6.9</x:v>
      </x:c>
      <x:c r="G517" s="13" t="n">
        <x:v>46168</x:v>
      </x:c>
      <x:c r="H517" s="2" t="str">
        <x:v>02_Konten/GIRO_2026-05.pdf</x:v>
      </x:c>
      <x:c r="I517" s="2" t="str"/>
      <x:c r="J517" s="2" t="str">
        <x:v>B0478</x:v>
      </x:c>
    </x:row>
    <x:row r="518" ht="35" customHeight="1">
      <x:c r="A518" s="2" t="str">
        <x:v>B0467</x:v>
      </x:c>
      <x:c r="B518" s="2" t="str">
        <x:v>GIRO</x:v>
      </x:c>
      <x:c r="C518" s="13" t="n">
        <x:v>46170</x:v>
      </x:c>
      <x:c r="D518" s="14" t="str">
        <x:v>Rentenstelle Nord</x:v>
      </x:c>
      <x:c r="E518" s="14" t="str">
        <x:v>Altersrente 2026-05</x:v>
      </x:c>
      <x:c r="F518" s="12" t="n">
        <x:v>2020</x:v>
      </x:c>
      <x:c r="G518" s="13" t="n">
        <x:v>46170</x:v>
      </x:c>
      <x:c r="H518" s="2" t="str">
        <x:v>02_Konten/GIRO_2026-05.pdf</x:v>
      </x:c>
      <x:c r="I518" s="2" t="str"/>
      <x:c r="J518" s="2" t="str">
        <x:v>B0467</x:v>
      </x:c>
    </x:row>
    <x:row r="519" ht="35" customHeight="1">
      <x:c r="A519" s="2" t="str">
        <x:v>B0468</x:v>
      </x:c>
      <x:c r="B519" s="2" t="str">
        <x:v>GIRO</x:v>
      </x:c>
      <x:c r="C519" s="13" t="n">
        <x:v>46170</x:v>
      </x:c>
      <x:c r="D519" s="14" t="str">
        <x:v>Rentenstelle Nord</x:v>
      </x:c>
      <x:c r="E519" s="14" t="str">
        <x:v>Hinterbliebenenrente 2026-05</x:v>
      </x:c>
      <x:c r="F519" s="12" t="n">
        <x:v>485</x:v>
      </x:c>
      <x:c r="G519" s="13" t="n">
        <x:v>46170</x:v>
      </x:c>
      <x:c r="H519" s="2" t="str">
        <x:v>02_Konten/GIRO_2026-05.pdf</x:v>
      </x:c>
      <x:c r="I519" s="2" t="str"/>
      <x:c r="J519" s="2" t="str">
        <x:v>B0468</x:v>
      </x:c>
    </x:row>
    <x:row r="520" ht="35" customHeight="1">
      <x:c r="A520" s="2" t="str">
        <x:v>B0484</x:v>
      </x:c>
      <x:c r="B520" s="2" t="str">
        <x:v>GIRO</x:v>
      </x:c>
      <x:c r="C520" s="13" t="n">
        <x:v>46176</x:v>
      </x:c>
      <x:c r="D520" s="14" t="str">
        <x:v>Hausverwaltung Lindenblatt KG</x:v>
      </x:c>
      <x:c r="E520" s="14" t="str">
        <x:v>Warmmiete Fliederbogen 17 / 2026-06</x:v>
      </x:c>
      <x:c r="F520" s="12" t="n">
        <x:v>-820</x:v>
      </x:c>
      <x:c r="G520" s="13" t="n">
        <x:v>46176</x:v>
      </x:c>
      <x:c r="H520" s="2" t="str">
        <x:v>02_Konten/GIRO_2026-06.pdf</x:v>
      </x:c>
      <x:c r="I520" s="2" t="str"/>
      <x:c r="J520" s="2" t="str">
        <x:v>B0484</x:v>
      </x:c>
    </x:row>
    <x:row r="521" ht="35" customHeight="1">
      <x:c r="A521" s="2" t="str">
        <x:v>B0485</x:v>
      </x:c>
      <x:c r="B521" s="2" t="str">
        <x:v>GIRO</x:v>
      </x:c>
      <x:c r="C521" s="13" t="n">
        <x:v>46181</x:v>
      </x:c>
      <x:c r="D521" s="14" t="str">
        <x:v>Nordlicht Energie Berlin GmbH</x:v>
      </x:c>
      <x:c r="E521" s="14" t="str">
        <x:v>Abschlag Kundennummer NE-48017 / 2026-06</x:v>
      </x:c>
      <x:c r="F521" s="12" t="n">
        <x:v>-79</x:v>
      </x:c>
      <x:c r="G521" s="13" t="n">
        <x:v>46181</x:v>
      </x:c>
      <x:c r="H521" s="2" t="str">
        <x:v>02_Konten/GIRO_2026-06.pdf</x:v>
      </x:c>
      <x:c r="I521" s="2" t="str"/>
      <x:c r="J521" s="2" t="str">
        <x:v>B0485</x:v>
      </x:c>
    </x:row>
    <x:row r="522" ht="35" customHeight="1">
      <x:c r="A522" s="2" t="str">
        <x:v>B0486</x:v>
      </x:c>
      <x:c r="B522" s="2" t="str">
        <x:v>GIRO</x:v>
      </x:c>
      <x:c r="C522" s="13" t="n">
        <x:v>46181</x:v>
      </x:c>
      <x:c r="D522" s="14" t="str">
        <x:v>Sprechfink Telekom GmbH</x:v>
      </x:c>
      <x:c r="E522" s="14" t="str">
        <x:v>Festnetz und Internet SP-118044 / 2026-06</x:v>
      </x:c>
      <x:c r="F522" s="12" t="n">
        <x:v>-44.99</x:v>
      </x:c>
      <x:c r="G522" s="13" t="n">
        <x:v>46181</x:v>
      </x:c>
      <x:c r="H522" s="2" t="str">
        <x:v>02_Konten/GIRO_2026-06.pdf</x:v>
      </x:c>
      <x:c r="I522" s="2" t="str">
        <x:v>TEL-2026-06</x:v>
      </x:c>
      <x:c r="J522" s="2" t="str">
        <x:v>B0486</x:v>
      </x:c>
    </x:row>
    <x:row r="523" ht="35" customHeight="1">
      <x:c r="A523" s="2" t="str">
        <x:v>B0494</x:v>
      </x:c>
      <x:c r="B523" s="2" t="str">
        <x:v>GIRO</x:v>
      </x:c>
      <x:c r="C523" s="13" t="n">
        <x:v>46182</x:v>
      </x:c>
      <x:c r="D523" s="14" t="str">
        <x:v>Glücksfenster Service GmbH</x:v>
      </x:c>
      <x:c r="E523" s="14" t="str">
        <x:v>Teilnahmeservice GF-90335 / 2026-06</x:v>
      </x:c>
      <x:c r="F523" s="12" t="n">
        <x:v>-29.9</x:v>
      </x:c>
      <x:c r="G523" s="13" t="n">
        <x:v>46182</x:v>
      </x:c>
      <x:c r="H523" s="2" t="str">
        <x:v>02_Konten/GIRO_2026-06.pdf</x:v>
      </x:c>
      <x:c r="I523" s="2" t="str"/>
      <x:c r="J523" s="2" t="str">
        <x:v>B0494</x:v>
      </x:c>
    </x:row>
    <x:row r="524" ht="35" customHeight="1">
      <x:c r="A524" s="2" t="str">
        <x:v>B0495</x:v>
      </x:c>
      <x:c r="B524" s="2" t="str">
        <x:v>GIRO</x:v>
      </x:c>
      <x:c r="C524" s="13" t="n">
        <x:v>46184</x:v>
      </x:c>
      <x:c r="D524" s="14" t="str">
        <x:v>LebensKompass Direkt GmbH</x:v>
      </x:c>
      <x:c r="E524" s="14" t="str">
        <x:v>Digitalpaket LK-55771 / 2026-06</x:v>
      </x:c>
      <x:c r="F524" s="12" t="n">
        <x:v>-69.9</x:v>
      </x:c>
      <x:c r="G524" s="13" t="n">
        <x:v>46184</x:v>
      </x:c>
      <x:c r="H524" s="2" t="str">
        <x:v>02_Konten/GIRO_2026-06.pdf</x:v>
      </x:c>
      <x:c r="I524" s="2" t="str"/>
      <x:c r="J524" s="2" t="str">
        <x:v>B0495</x:v>
      </x:c>
    </x:row>
    <x:row r="525" ht="35" customHeight="1">
      <x:c r="A525" s="2" t="str">
        <x:v>B0487</x:v>
      </x:c>
      <x:c r="B525" s="2" t="str">
        <x:v>GIRO</x:v>
      </x:c>
      <x:c r="C525" s="13" t="n">
        <x:v>46185</x:v>
      </x:c>
      <x:c r="D525" s="14" t="str">
        <x:v>Alltagshilfe Mohnblüte GmbH</x:v>
      </x:c>
      <x:c r="E525" s="14" t="str">
        <x:v>Haushaltshilfe Rechnung MH-2026-06</x:v>
      </x:c>
      <x:c r="F525" s="12" t="n">
        <x:v>-126.5</x:v>
      </x:c>
      <x:c r="G525" s="13" t="n">
        <x:v>46185</x:v>
      </x:c>
      <x:c r="H525" s="2" t="str">
        <x:v>02_Konten/GIRO_2026-06.pdf</x:v>
      </x:c>
      <x:c r="I525" s="2" t="str">
        <x:v>MH-2026-06</x:v>
      </x:c>
      <x:c r="J525" s="2" t="str">
        <x:v>B0487</x:v>
      </x:c>
    </x:row>
    <x:row r="526" ht="35" customHeight="1">
      <x:c r="A526" s="2" t="str">
        <x:v>B0488</x:v>
      </x:c>
      <x:c r="B526" s="2" t="str">
        <x:v>GIRO</x:v>
      </x:c>
      <x:c r="C526" s="13" t="n">
        <x:v>46188</x:v>
      </x:c>
      <x:c r="D526" s="14" t="str">
        <x:v>Frischemarkt Karow</x:v>
      </x:c>
      <x:c r="E526" s="14" t="str">
        <x:v>Kartenzahlung Lebensmittel, Belegserie FK 2026-06</x:v>
      </x:c>
      <x:c r="F526" s="12" t="n">
        <x:v>-258.84</x:v>
      </x:c>
      <x:c r="G526" s="13" t="n">
        <x:v>46188</x:v>
      </x:c>
      <x:c r="H526" s="2" t="str">
        <x:v>02_Konten/GIRO_2026-06.pdf</x:v>
      </x:c>
      <x:c r="I526" s="2" t="str"/>
      <x:c r="J526" s="2" t="str">
        <x:v>B0488</x:v>
      </x:c>
    </x:row>
    <x:row r="527" ht="35" customHeight="1">
      <x:c r="A527" s="2" t="str">
        <x:v>B0489</x:v>
      </x:c>
      <x:c r="B527" s="2" t="str">
        <x:v>GIRO</x:v>
      </x:c>
      <x:c r="C527" s="13" t="n">
        <x:v>46188</x:v>
      </x:c>
      <x:c r="D527" s="14" t="str">
        <x:v>Apotheke Silberblatt</x:v>
      </x:c>
      <x:c r="E527" s="14" t="str">
        <x:v>Zuzahlung und Pflegebedarf 2026-06</x:v>
      </x:c>
      <x:c r="F527" s="12" t="n">
        <x:v>-24.66</x:v>
      </x:c>
      <x:c r="G527" s="13" t="n">
        <x:v>46188</x:v>
      </x:c>
      <x:c r="H527" s="2" t="str">
        <x:v>02_Konten/GIRO_2026-06.pdf</x:v>
      </x:c>
      <x:c r="I527" s="2" t="str"/>
      <x:c r="J527" s="2" t="str">
        <x:v>B0489</x:v>
      </x:c>
    </x:row>
    <x:row r="528" ht="35" customHeight="1">
      <x:c r="A528" s="2" t="str">
        <x:v>B0574</x:v>
      </x:c>
      <x:c r="B528" s="2" t="str">
        <x:v>GIRO</x:v>
      </x:c>
      <x:c r="C528" s="13" t="n">
        <x:v>46189</x:v>
      </x:c>
      <x:c r="D528" s="14" t="str">
        <x:v>Geldautomat Karow</x:v>
      </x:c>
      <x:c r="E528" s="14" t="str">
        <x:v>Bargeldauszahlung Karte 0441, Terminal KA-03</x:v>
      </x:c>
      <x:c r="F528" s="12" t="n">
        <x:v>-650</x:v>
      </x:c>
      <x:c r="G528" s="13" t="n">
        <x:v>46189</x:v>
      </x:c>
      <x:c r="H528" s="2" t="str">
        <x:v>02_Konten/GIRO_2026-06.pdf</x:v>
      </x:c>
      <x:c r="I528" s="2" t="str"/>
      <x:c r="J528" s="2" t="str">
        <x:v>B0574</x:v>
      </x:c>
    </x:row>
    <x:row r="529" ht="35" customHeight="1">
      <x:c r="A529" s="2" t="str">
        <x:v>B0490</x:v>
      </x:c>
      <x:c r="B529" s="2" t="str">
        <x:v>GIRO</x:v>
      </x:c>
      <x:c r="C529" s="13" t="n">
        <x:v>46191</x:v>
      </x:c>
      <x:c r="D529" s="14" t="str">
        <x:v>Geldautomat Karow</x:v>
      </x:c>
      <x:c r="E529" s="14" t="str">
        <x:v>Bargeldauszahlung Karte 0441, Terminal KA-03</x:v>
      </x:c>
      <x:c r="F529" s="12" t="n">
        <x:v>-200</x:v>
      </x:c>
      <x:c r="G529" s="13" t="n">
        <x:v>46191</x:v>
      </x:c>
      <x:c r="H529" s="2" t="str">
        <x:v>02_Konten/GIRO_2026-06.pdf</x:v>
      </x:c>
      <x:c r="I529" s="2" t="str"/>
      <x:c r="J529" s="2" t="str">
        <x:v>B0490</x:v>
      </x:c>
    </x:row>
    <x:row r="530" ht="35" customHeight="1">
      <x:c r="A530" s="2" t="str">
        <x:v>B0497</x:v>
      </x:c>
      <x:c r="B530" s="2" t="str">
        <x:v>GIRO</x:v>
      </x:c>
      <x:c r="C530" s="13" t="n">
        <x:v>46192</x:v>
      </x:c>
      <x:c r="D530" s="14" t="str">
        <x:v>Kirchengemeinde Am Fliederbogen</x:v>
      </x:c>
      <x:c r="E530" s="14" t="str">
        <x:v>Gemeindespende</x:v>
      </x:c>
      <x:c r="F530" s="12" t="n">
        <x:v>-15</x:v>
      </x:c>
      <x:c r="G530" s="13" t="n">
        <x:v>46192</x:v>
      </x:c>
      <x:c r="H530" s="2" t="str">
        <x:v>02_Konten/GIRO_2026-06.pdf</x:v>
      </x:c>
      <x:c r="I530" s="2" t="str"/>
      <x:c r="J530" s="2" t="str">
        <x:v>B0497</x:v>
      </x:c>
    </x:row>
    <x:row r="531" ht="35" customHeight="1">
      <x:c r="A531" s="2" t="str">
        <x:v>B0491</x:v>
      </x:c>
      <x:c r="B531" s="2" t="str">
        <x:v>GIRO</x:v>
      </x:c>
      <x:c r="C531" s="13" t="n">
        <x:v>46195</x:v>
      </x:c>
      <x:c r="D531" s="14" t="str">
        <x:v>Tierladen Pfötchen</x:v>
      </x:c>
      <x:c r="E531" s="14" t="str">
        <x:v>Futter und Streu für Kater Mürbchen</x:v>
      </x:c>
      <x:c r="F531" s="12" t="n">
        <x:v>-48.5</x:v>
      </x:c>
      <x:c r="G531" s="13" t="n">
        <x:v>46195</x:v>
      </x:c>
      <x:c r="H531" s="2" t="str">
        <x:v>02_Konten/GIRO_2026-06.pdf</x:v>
      </x:c>
      <x:c r="I531" s="2" t="str"/>
      <x:c r="J531" s="2" t="str">
        <x:v>B0491</x:v>
      </x:c>
    </x:row>
    <x:row r="532" ht="35" customHeight="1">
      <x:c r="A532" s="2" t="str">
        <x:v>B0492</x:v>
      </x:c>
      <x:c r="B532" s="2" t="str">
        <x:v>GIRO</x:v>
      </x:c>
      <x:c r="C532" s="13" t="n">
        <x:v>46195</x:v>
      </x:c>
      <x:c r="D532" s="14" t="str">
        <x:v>SofaKino Digital GmbH</x:v>
      </x:c>
      <x:c r="E532" s="14" t="str">
        <x:v>Monatsabo SK-77380 / 2026-06</x:v>
      </x:c>
      <x:c r="F532" s="12" t="n">
        <x:v>-12.99</x:v>
      </x:c>
      <x:c r="G532" s="13" t="n">
        <x:v>46195</x:v>
      </x:c>
      <x:c r="H532" s="2" t="str">
        <x:v>02_Konten/GIRO_2026-06.pdf</x:v>
      </x:c>
      <x:c r="I532" s="2" t="str"/>
      <x:c r="J532" s="2" t="str">
        <x:v>B0492</x:v>
      </x:c>
    </x:row>
    <x:row r="533" ht="35" customHeight="1">
      <x:c r="A533" s="2" t="str">
        <x:v>B0498</x:v>
      </x:c>
      <x:c r="B533" s="2" t="str">
        <x:v>GIRO</x:v>
      </x:c>
      <x:c r="C533" s="13" t="n">
        <x:v>46195</x:v>
      </x:c>
      <x:c r="D533" s="14" t="str">
        <x:v>Adelheid Pfister Sparen</x:v>
      </x:c>
      <x:c r="E533" s="14" t="str">
        <x:v>Umbuchung auf eigenes Sparkonto</x:v>
      </x:c>
      <x:c r="F533" s="12" t="n">
        <x:v>-250</x:v>
      </x:c>
      <x:c r="G533" s="13" t="n">
        <x:v>46195</x:v>
      </x:c>
      <x:c r="H533" s="2" t="str">
        <x:v>02_Konten/GIRO_2026-06.pdf</x:v>
      </x:c>
      <x:c r="I533" s="2" t="str"/>
      <x:c r="J533" s="2" t="str">
        <x:v>B0498</x:v>
      </x:c>
    </x:row>
    <x:row r="534" ht="35" customHeight="1">
      <x:c r="A534" s="2" t="str">
        <x:v>B0499</x:v>
      </x:c>
      <x:c r="B534" s="2" t="str">
        <x:v>SPAR</x:v>
      </x:c>
      <x:c r="C534" s="13" t="n">
        <x:v>46195</x:v>
      </x:c>
      <x:c r="D534" s="14" t="str">
        <x:v>Adelheid Pfister Giro</x:v>
      </x:c>
      <x:c r="E534" s="14" t="str">
        <x:v>Umbuchung vom eigenen Girokonto</x:v>
      </x:c>
      <x:c r="F534" s="12" t="n">
        <x:v>250</x:v>
      </x:c>
      <x:c r="G534" s="13" t="n">
        <x:v>46195</x:v>
      </x:c>
      <x:c r="H534" s="2" t="str">
        <x:v>02_Konten/SPAR_2026-06.pdf</x:v>
      </x:c>
      <x:c r="I534" s="2" t="str"/>
      <x:c r="J534" s="2" t="str">
        <x:v>B0499</x:v>
      </x:c>
    </x:row>
    <x:row r="535" ht="35" customHeight="1">
      <x:c r="A535" s="2" t="str">
        <x:v>B0496</x:v>
      </x:c>
      <x:c r="B535" s="2" t="str">
        <x:v>GIRO</x:v>
      </x:c>
      <x:c r="C535" s="13" t="n">
        <x:v>46197</x:v>
      </x:c>
      <x:c r="D535" s="14" t="str">
        <x:v>Egon Knusper</x:v>
      </x:c>
      <x:c r="E535" s="14" t="str">
        <x:v>Pauschale Einkauf und Technik 2026-06</x:v>
      </x:c>
      <x:c r="F535" s="12" t="n">
        <x:v>-145</x:v>
      </x:c>
      <x:c r="G535" s="13" t="n">
        <x:v>46197</x:v>
      </x:c>
      <x:c r="H535" s="2" t="str">
        <x:v>02_Konten/GIRO_2026-06.pdf</x:v>
      </x:c>
      <x:c r="I535" s="2" t="str">
        <x:v>EK-2026-06</x:v>
      </x:c>
      <x:c r="J535" s="2" t="str">
        <x:v>B0496</x:v>
      </x:c>
    </x:row>
    <x:row r="536" ht="35" customHeight="1">
      <x:c r="A536" s="2" t="str">
        <x:v>B0493</x:v>
      </x:c>
      <x:c r="B536" s="2" t="str">
        <x:v>GIRO</x:v>
      </x:c>
      <x:c r="C536" s="13" t="n">
        <x:v>46199</x:v>
      </x:c>
      <x:c r="D536" s="14" t="str">
        <x:v>Fensterbank Spree eG</x:v>
      </x:c>
      <x:c r="E536" s="14" t="str">
        <x:v>Kontoführung 2026-06</x:v>
      </x:c>
      <x:c r="F536" s="12" t="n">
        <x:v>-6.9</x:v>
      </x:c>
      <x:c r="G536" s="13" t="n">
        <x:v>46199</x:v>
      </x:c>
      <x:c r="H536" s="2" t="str">
        <x:v>02_Konten/GIRO_2026-06.pdf</x:v>
      </x:c>
      <x:c r="I536" s="2" t="str"/>
      <x:c r="J536" s="2" t="str">
        <x:v>B0493</x:v>
      </x:c>
    </x:row>
    <x:row r="537" ht="35" customHeight="1">
      <x:c r="A537" s="2" t="str">
        <x:v>B0482</x:v>
      </x:c>
      <x:c r="B537" s="2" t="str">
        <x:v>GIRO</x:v>
      </x:c>
      <x:c r="C537" s="13" t="n">
        <x:v>46202</x:v>
      </x:c>
      <x:c r="D537" s="14" t="str">
        <x:v>Rentenstelle Nord</x:v>
      </x:c>
      <x:c r="E537" s="14" t="str">
        <x:v>Altersrente 2026-06</x:v>
      </x:c>
      <x:c r="F537" s="12" t="n">
        <x:v>2020</x:v>
      </x:c>
      <x:c r="G537" s="13" t="n">
        <x:v>46202</x:v>
      </x:c>
      <x:c r="H537" s="2" t="str">
        <x:v>02_Konten/GIRO_2026-06.pdf</x:v>
      </x:c>
      <x:c r="I537" s="2" t="str"/>
      <x:c r="J537" s="2" t="str">
        <x:v>B0482</x:v>
      </x:c>
    </x:row>
    <x:row r="538" ht="35" customHeight="1">
      <x:c r="A538" s="2" t="str">
        <x:v>B0483</x:v>
      </x:c>
      <x:c r="B538" s="2" t="str">
        <x:v>GIRO</x:v>
      </x:c>
      <x:c r="C538" s="13" t="n">
        <x:v>46202</x:v>
      </x:c>
      <x:c r="D538" s="14" t="str">
        <x:v>Rentenstelle Nord</x:v>
      </x:c>
      <x:c r="E538" s="14" t="str">
        <x:v>Hinterbliebenenrente 2026-06</x:v>
      </x:c>
      <x:c r="F538" s="12" t="n">
        <x:v>485</x:v>
      </x:c>
      <x:c r="G538" s="13" t="n">
        <x:v>46202</x:v>
      </x:c>
      <x:c r="H538" s="2" t="str">
        <x:v>02_Konten/GIRO_2026-06.pdf</x:v>
      </x:c>
      <x:c r="I538" s="2" t="str"/>
      <x:c r="J538" s="2" t="str">
        <x:v>B0483</x:v>
      </x:c>
    </x:row>
    <x:row r="539" ht="35" customHeight="1">
      <x:c r="A539" s="2" t="str">
        <x:v>B0502</x:v>
      </x:c>
      <x:c r="B539" s="2" t="str">
        <x:v>GIRO</x:v>
      </x:c>
      <x:c r="C539" s="13" t="n">
        <x:v>46206</x:v>
      </x:c>
      <x:c r="D539" s="14" t="str">
        <x:v>Hausverwaltung Lindenblatt KG</x:v>
      </x:c>
      <x:c r="E539" s="14" t="str">
        <x:v>Warmmiete Fliederbogen 17 / 2026-07</x:v>
      </x:c>
      <x:c r="F539" s="12" t="n">
        <x:v>-820</x:v>
      </x:c>
      <x:c r="G539" s="13" t="n">
        <x:v>46206</x:v>
      </x:c>
      <x:c r="H539" s="2" t="str">
        <x:v>02_Konten/GIRO_2026-07.pdf</x:v>
      </x:c>
      <x:c r="I539" s="2" t="str"/>
      <x:c r="J539" s="2" t="str">
        <x:v>B0502</x:v>
      </x:c>
    </x:row>
    <x:row r="540" ht="35" customHeight="1">
      <x:c r="A540" s="2" t="str">
        <x:v>B0503</x:v>
      </x:c>
      <x:c r="B540" s="2" t="str">
        <x:v>GIRO</x:v>
      </x:c>
      <x:c r="C540" s="13" t="n">
        <x:v>46209</x:v>
      </x:c>
      <x:c r="D540" s="14" t="str">
        <x:v>Nordlicht Energie Berlin GmbH</x:v>
      </x:c>
      <x:c r="E540" s="14" t="str">
        <x:v>Abschlag Kundennummer NE-48017 / 2026-07</x:v>
      </x:c>
      <x:c r="F540" s="12" t="n">
        <x:v>-79</x:v>
      </x:c>
      <x:c r="G540" s="13" t="n">
        <x:v>46209</x:v>
      </x:c>
      <x:c r="H540" s="2" t="str">
        <x:v>02_Konten/GIRO_2026-07.pdf</x:v>
      </x:c>
      <x:c r="I540" s="2" t="str"/>
      <x:c r="J540" s="2" t="str">
        <x:v>B0503</x:v>
      </x:c>
    </x:row>
    <x:row r="541" ht="35" customHeight="1">
      <x:c r="A541" s="2" t="str">
        <x:v>B0504</x:v>
      </x:c>
      <x:c r="B541" s="2" t="str">
        <x:v>GIRO</x:v>
      </x:c>
      <x:c r="C541" s="13" t="n">
        <x:v>46211</x:v>
      </x:c>
      <x:c r="D541" s="14" t="str">
        <x:v>Sprechfink Telekom GmbH</x:v>
      </x:c>
      <x:c r="E541" s="14" t="str">
        <x:v>Festnetz und Internet SP-118044 / 2026-07</x:v>
      </x:c>
      <x:c r="F541" s="12" t="n">
        <x:v>-44.99</x:v>
      </x:c>
      <x:c r="G541" s="13" t="n">
        <x:v>46211</x:v>
      </x:c>
      <x:c r="H541" s="2" t="str">
        <x:v>02_Konten/GIRO_2026-07.pdf</x:v>
      </x:c>
      <x:c r="I541" s="2" t="str">
        <x:v>TEL-2026-07</x:v>
      </x:c>
      <x:c r="J541" s="2" t="str">
        <x:v>B0504</x:v>
      </x:c>
    </x:row>
    <x:row r="542" ht="35" customHeight="1">
      <x:c r="A542" s="2" t="str">
        <x:v>B0512</x:v>
      </x:c>
      <x:c r="B542" s="2" t="str">
        <x:v>GIRO</x:v>
      </x:c>
      <x:c r="C542" s="13" t="n">
        <x:v>46212</x:v>
      </x:c>
      <x:c r="D542" s="14" t="str">
        <x:v>Glücksfenster Service GmbH</x:v>
      </x:c>
      <x:c r="E542" s="14" t="str">
        <x:v>Teilnahmeservice GF-90335 / 2026-07</x:v>
      </x:c>
      <x:c r="F542" s="12" t="n">
        <x:v>-29.9</x:v>
      </x:c>
      <x:c r="G542" s="13" t="n">
        <x:v>46212</x:v>
      </x:c>
      <x:c r="H542" s="2" t="str">
        <x:v>02_Konten/GIRO_2026-07.pdf</x:v>
      </x:c>
      <x:c r="I542" s="2" t="str"/>
      <x:c r="J542" s="2" t="str">
        <x:v>B0512</x:v>
      </x:c>
    </x:row>
    <x:row r="543" ht="35" customHeight="1">
      <x:c r="A543" s="2" t="str">
        <x:v>B0575</x:v>
      </x:c>
      <x:c r="B543" s="2" t="str">
        <x:v>GIRO</x:v>
      </x:c>
      <x:c r="C543" s="13" t="n">
        <x:v>46212</x:v>
      </x:c>
      <x:c r="D543" s="14" t="str">
        <x:v>Sanitätshaus Schwalbe GmbH</x:v>
      </x:c>
      <x:c r="E543" s="14" t="str">
        <x:v>Eigenanteil Rollator SS-26180</x:v>
      </x:c>
      <x:c r="F543" s="12" t="n">
        <x:v>-680</x:v>
      </x:c>
      <x:c r="G543" s="13" t="n">
        <x:v>46212</x:v>
      </x:c>
      <x:c r="H543" s="2" t="str">
        <x:v>02_Konten/GIRO_2026-07.pdf</x:v>
      </x:c>
      <x:c r="I543" s="2" t="str">
        <x:v>SS-26180</x:v>
      </x:c>
      <x:c r="J543" s="2" t="str">
        <x:v>B0575</x:v>
      </x:c>
    </x:row>
    <x:row r="544" ht="35" customHeight="1">
      <x:c r="A544" s="2" t="str">
        <x:v>B0505</x:v>
      </x:c>
      <x:c r="B544" s="2" t="str">
        <x:v>GIRO</x:v>
      </x:c>
      <x:c r="C544" s="13" t="n">
        <x:v>46216</x:v>
      </x:c>
      <x:c r="D544" s="14" t="str">
        <x:v>Alltagshilfe Mohnblüte GmbH</x:v>
      </x:c>
      <x:c r="E544" s="14" t="str">
        <x:v>Haushaltshilfe Rechnung MH-2026-07</x:v>
      </x:c>
      <x:c r="F544" s="12" t="n">
        <x:v>-126.5</x:v>
      </x:c>
      <x:c r="G544" s="13" t="n">
        <x:v>46216</x:v>
      </x:c>
      <x:c r="H544" s="2" t="str">
        <x:v>02_Konten/GIRO_2026-07.pdf</x:v>
      </x:c>
      <x:c r="I544" s="2" t="str">
        <x:v>MH-2026-07</x:v>
      </x:c>
      <x:c r="J544" s="2" t="str">
        <x:v>B0505</x:v>
      </x:c>
    </x:row>
    <x:row r="545" ht="35" customHeight="1">
      <x:c r="A545" s="2" t="str">
        <x:v>B0513</x:v>
      </x:c>
      <x:c r="B545" s="2" t="str">
        <x:v>GIRO</x:v>
      </x:c>
      <x:c r="C545" s="13" t="n">
        <x:v>46216</x:v>
      </x:c>
      <x:c r="D545" s="14" t="str">
        <x:v>LebensKompass Direkt GmbH</x:v>
      </x:c>
      <x:c r="E545" s="14" t="str">
        <x:v>Digitalpaket LK-55771 / 2026-07</x:v>
      </x:c>
      <x:c r="F545" s="12" t="n">
        <x:v>-69.9</x:v>
      </x:c>
      <x:c r="G545" s="13" t="n">
        <x:v>46216</x:v>
      </x:c>
      <x:c r="H545" s="2" t="str">
        <x:v>02_Konten/GIRO_2026-07.pdf</x:v>
      </x:c>
      <x:c r="I545" s="2" t="str"/>
      <x:c r="J545" s="2" t="str">
        <x:v>B0513</x:v>
      </x:c>
    </x:row>
    <x:row r="546" ht="35" customHeight="1">
      <x:c r="A546" s="2" t="str">
        <x:v>B0506</x:v>
      </x:c>
      <x:c r="B546" s="2" t="str">
        <x:v>GIRO</x:v>
      </x:c>
      <x:c r="C546" s="13" t="n">
        <x:v>46217</x:v>
      </x:c>
      <x:c r="D546" s="14" t="str">
        <x:v>Frischemarkt Karow</x:v>
      </x:c>
      <x:c r="E546" s="14" t="str">
        <x:v>Kartenzahlung Lebensmittel, Belegserie FK 2026-07</x:v>
      </x:c>
      <x:c r="F546" s="12" t="n">
        <x:v>-260.21</x:v>
      </x:c>
      <x:c r="G546" s="13" t="n">
        <x:v>46217</x:v>
      </x:c>
      <x:c r="H546" s="2" t="str">
        <x:v>02_Konten/GIRO_2026-07.pdf</x:v>
      </x:c>
      <x:c r="I546" s="2" t="str"/>
      <x:c r="J546" s="2" t="str">
        <x:v>B0506</x:v>
      </x:c>
    </x:row>
    <x:row r="547" ht="35" customHeight="1">
      <x:c r="A547" s="2" t="str">
        <x:v>B0507</x:v>
      </x:c>
      <x:c r="B547" s="2" t="str">
        <x:v>GIRO</x:v>
      </x:c>
      <x:c r="C547" s="13" t="n">
        <x:v>46218</x:v>
      </x:c>
      <x:c r="D547" s="14" t="str">
        <x:v>Apotheke Silberblatt</x:v>
      </x:c>
      <x:c r="E547" s="14" t="str">
        <x:v>Zuzahlung und Pflegebedarf 2026-07</x:v>
      </x:c>
      <x:c r="F547" s="12" t="n">
        <x:v>-25.79</x:v>
      </x:c>
      <x:c r="G547" s="13" t="n">
        <x:v>46218</x:v>
      </x:c>
      <x:c r="H547" s="2" t="str">
        <x:v>02_Konten/GIRO_2026-07.pdf</x:v>
      </x:c>
      <x:c r="I547" s="2" t="str">
        <x:v>AP-2026-07</x:v>
      </x:c>
      <x:c r="J547" s="2" t="str">
        <x:v>B0507</x:v>
      </x:c>
    </x:row>
    <x:row r="548" ht="35" customHeight="1">
      <x:c r="A548" s="2" t="str">
        <x:v>B0508</x:v>
      </x:c>
      <x:c r="B548" s="2" t="str">
        <x:v>GIRO</x:v>
      </x:c>
      <x:c r="C548" s="13" t="n">
        <x:v>46223</x:v>
      </x:c>
      <x:c r="D548" s="14" t="str">
        <x:v>Geldautomat Karow</x:v>
      </x:c>
      <x:c r="E548" s="14" t="str">
        <x:v>Bargeldauszahlung Karte 0441, Terminal KA-03</x:v>
      </x:c>
      <x:c r="F548" s="12" t="n">
        <x:v>-200</x:v>
      </x:c>
      <x:c r="G548" s="13" t="n">
        <x:v>46223</x:v>
      </x:c>
      <x:c r="H548" s="2" t="str">
        <x:v>02_Konten/GIRO_2026-07.pdf</x:v>
      </x:c>
      <x:c r="I548" s="2" t="str"/>
      <x:c r="J548" s="2" t="str">
        <x:v>B0508</x:v>
      </x:c>
    </x:row>
    <x:row r="549" ht="35" customHeight="1">
      <x:c r="A549" s="2" t="str">
        <x:v>B0509</x:v>
      </x:c>
      <x:c r="B549" s="2" t="str">
        <x:v>GIRO</x:v>
      </x:c>
      <x:c r="C549" s="13" t="n">
        <x:v>46223</x:v>
      </x:c>
      <x:c r="D549" s="14" t="str">
        <x:v>Tierladen Pfötchen</x:v>
      </x:c>
      <x:c r="E549" s="14" t="str">
        <x:v>Futter und Streu für Kater Mürbchen</x:v>
      </x:c>
      <x:c r="F549" s="12" t="n">
        <x:v>-48.5</x:v>
      </x:c>
      <x:c r="G549" s="13" t="n">
        <x:v>46223</x:v>
      </x:c>
      <x:c r="H549" s="2" t="str">
        <x:v>02_Konten/GIRO_2026-07.pdf</x:v>
      </x:c>
      <x:c r="I549" s="2" t="str"/>
      <x:c r="J549" s="2" t="str">
        <x:v>B0509</x:v>
      </x:c>
    </x:row>
    <x:row r="550" ht="35" customHeight="1">
      <x:c r="A550" s="2" t="str">
        <x:v>B0510</x:v>
      </x:c>
      <x:c r="B550" s="2" t="str">
        <x:v>GIRO</x:v>
      </x:c>
      <x:c r="C550" s="13" t="n">
        <x:v>46225</x:v>
      </x:c>
      <x:c r="D550" s="14" t="str">
        <x:v>SofaKino Digital GmbH</x:v>
      </x:c>
      <x:c r="E550" s="14" t="str">
        <x:v>Monatsabo SK-77380 / 2026-07</x:v>
      </x:c>
      <x:c r="F550" s="12" t="n">
        <x:v>-12.99</x:v>
      </x:c>
      <x:c r="G550" s="13" t="n">
        <x:v>46225</x:v>
      </x:c>
      <x:c r="H550" s="2" t="str">
        <x:v>02_Konten/GIRO_2026-07.pdf</x:v>
      </x:c>
      <x:c r="I550" s="2" t="str"/>
      <x:c r="J550" s="2" t="str">
        <x:v>B0510</x:v>
      </x:c>
    </x:row>
    <x:row r="551" ht="35" customHeight="1">
      <x:c r="A551" s="2" t="str">
        <x:v>B0514</x:v>
      </x:c>
      <x:c r="B551" s="2" t="str">
        <x:v>GIRO</x:v>
      </x:c>
      <x:c r="C551" s="13" t="n">
        <x:v>46227</x:v>
      </x:c>
      <x:c r="D551" s="14" t="str">
        <x:v>Egon Knusper</x:v>
      </x:c>
      <x:c r="E551" s="14" t="str">
        <x:v>Pauschale Einkauf und Technik 2026-07</x:v>
      </x:c>
      <x:c r="F551" s="12" t="n">
        <x:v>-145</x:v>
      </x:c>
      <x:c r="G551" s="13" t="n">
        <x:v>46227</x:v>
      </x:c>
      <x:c r="H551" s="2" t="str">
        <x:v>02_Konten/GIRO_2026-07.pdf</x:v>
      </x:c>
      <x:c r="I551" s="2" t="str">
        <x:v>EK-2026-07</x:v>
      </x:c>
      <x:c r="J551" s="2" t="str">
        <x:v>B0514</x:v>
      </x:c>
    </x:row>
    <x:row r="552" ht="35" customHeight="1">
      <x:c r="A552" s="2" t="str">
        <x:v>B0511</x:v>
      </x:c>
      <x:c r="B552" s="2" t="str">
        <x:v>GIRO</x:v>
      </x:c>
      <x:c r="C552" s="13" t="n">
        <x:v>46230</x:v>
      </x:c>
      <x:c r="D552" s="14" t="str">
        <x:v>Fensterbank Spree eG</x:v>
      </x:c>
      <x:c r="E552" s="14" t="str">
        <x:v>Kontoführung 2026-07</x:v>
      </x:c>
      <x:c r="F552" s="12" t="n">
        <x:v>-6.9</x:v>
      </x:c>
      <x:c r="G552" s="13" t="n">
        <x:v>46230</x:v>
      </x:c>
      <x:c r="H552" s="2" t="str">
        <x:v>02_Konten/GIRO_2026-07.pdf</x:v>
      </x:c>
      <x:c r="I552" s="2" t="str"/>
      <x:c r="J552" s="2" t="str">
        <x:v>B0511</x:v>
      </x:c>
    </x:row>
    <x:row r="553" ht="35" customHeight="1">
      <x:c r="A553" s="2" t="str">
        <x:v>B0500</x:v>
      </x:c>
      <x:c r="B553" s="2" t="str">
        <x:v>GIRO</x:v>
      </x:c>
      <x:c r="C553" s="13" t="n">
        <x:v>46231</x:v>
      </x:c>
      <x:c r="D553" s="14" t="str">
        <x:v>Rentenstelle Nord</x:v>
      </x:c>
      <x:c r="E553" s="14" t="str">
        <x:v>Altersrente 2026-07</x:v>
      </x:c>
      <x:c r="F553" s="12" t="n">
        <x:v>2080</x:v>
      </x:c>
      <x:c r="G553" s="13" t="n">
        <x:v>46231</x:v>
      </x:c>
      <x:c r="H553" s="2" t="str">
        <x:v>02_Konten/GIRO_2026-07.pdf</x:v>
      </x:c>
      <x:c r="I553" s="2" t="str"/>
      <x:c r="J553" s="2" t="str">
        <x:v>B0500</x:v>
      </x:c>
    </x:row>
    <x:row r="554" ht="35" customHeight="1">
      <x:c r="A554" s="2" t="str">
        <x:v>B0501</x:v>
      </x:c>
      <x:c r="B554" s="2" t="str">
        <x:v>GIRO</x:v>
      </x:c>
      <x:c r="C554" s="13" t="n">
        <x:v>46231</x:v>
      </x:c>
      <x:c r="D554" s="14" t="str">
        <x:v>Rentenstelle Nord</x:v>
      </x:c>
      <x:c r="E554" s="14" t="str">
        <x:v>Hinterbliebenenrente 2026-07</x:v>
      </x:c>
      <x:c r="F554" s="12" t="n">
        <x:v>485</x:v>
      </x:c>
      <x:c r="G554" s="13" t="n">
        <x:v>46231</x:v>
      </x:c>
      <x:c r="H554" s="2" t="str">
        <x:v>02_Konten/GIRO_2026-07.pdf</x:v>
      </x:c>
      <x:c r="I554" s="2" t="str"/>
      <x:c r="J554" s="2" t="str">
        <x:v>B0501</x:v>
      </x:c>
    </x:row>
    <x:row r="555" ht="35" customHeight="1">
      <x:c r="A555" s="2" t="str">
        <x:v>B0517</x:v>
      </x:c>
      <x:c r="B555" s="2" t="str">
        <x:v>GIRO</x:v>
      </x:c>
      <x:c r="C555" s="13" t="n">
        <x:v>46237</x:v>
      </x:c>
      <x:c r="D555" s="14" t="str">
        <x:v>Hausverwaltung Lindenblatt KG</x:v>
      </x:c>
      <x:c r="E555" s="14" t="str">
        <x:v>Warmmiete Fliederbogen 17 / 2026-08</x:v>
      </x:c>
      <x:c r="F555" s="12" t="n">
        <x:v>-820</x:v>
      </x:c>
      <x:c r="G555" s="13" t="n">
        <x:v>46237</x:v>
      </x:c>
      <x:c r="H555" s="2" t="str">
        <x:v>02_Konten/GIRO_2026-08.pdf</x:v>
      </x:c>
      <x:c r="I555" s="2" t="str"/>
      <x:c r="J555" s="2" t="str">
        <x:v>B0517</x:v>
      </x:c>
    </x:row>
    <x:row r="556" ht="35" customHeight="1">
      <x:c r="A556" s="2" t="str">
        <x:v>B0518</x:v>
      </x:c>
      <x:c r="B556" s="2" t="str">
        <x:v>GIRO</x:v>
      </x:c>
      <x:c r="C556" s="13" t="n">
        <x:v>46240</x:v>
      </x:c>
      <x:c r="D556" s="14" t="str">
        <x:v>Nordlicht Energie Berlin GmbH</x:v>
      </x:c>
      <x:c r="E556" s="14" t="str">
        <x:v>Abschlag Kundennummer NE-48017 / 2026-08</x:v>
      </x:c>
      <x:c r="F556" s="12" t="n">
        <x:v>-79</x:v>
      </x:c>
      <x:c r="G556" s="13" t="n">
        <x:v>46240</x:v>
      </x:c>
      <x:c r="H556" s="2" t="str">
        <x:v>02_Konten/GIRO_2026-08.pdf</x:v>
      </x:c>
      <x:c r="I556" s="2" t="str"/>
      <x:c r="J556" s="2" t="str">
        <x:v>B0518</x:v>
      </x:c>
    </x:row>
    <x:row r="557" ht="35" customHeight="1">
      <x:c r="A557" s="2" t="str">
        <x:v>B0519</x:v>
      </x:c>
      <x:c r="B557" s="2" t="str">
        <x:v>GIRO</x:v>
      </x:c>
      <x:c r="C557" s="13" t="n">
        <x:v>46244</x:v>
      </x:c>
      <x:c r="D557" s="14" t="str">
        <x:v>Sprechfink Telekom GmbH</x:v>
      </x:c>
      <x:c r="E557" s="14" t="str">
        <x:v>Festnetz und Internet SP-118044 / 2026-08</x:v>
      </x:c>
      <x:c r="F557" s="12" t="n">
        <x:v>-44.99</x:v>
      </x:c>
      <x:c r="G557" s="13" t="n">
        <x:v>46244</x:v>
      </x:c>
      <x:c r="H557" s="2" t="str">
        <x:v>02_Konten/GIRO_2026-08.pdf</x:v>
      </x:c>
      <x:c r="I557" s="2" t="str">
        <x:v>TEL-2026-08</x:v>
      </x:c>
      <x:c r="J557" s="2" t="str">
        <x:v>B0519</x:v>
      </x:c>
    </x:row>
    <x:row r="558" ht="35" customHeight="1">
      <x:c r="A558" s="2" t="str">
        <x:v>B0527</x:v>
      </x:c>
      <x:c r="B558" s="2" t="str">
        <x:v>GIRO</x:v>
      </x:c>
      <x:c r="C558" s="13" t="n">
        <x:v>46244</x:v>
      </x:c>
      <x:c r="D558" s="14" t="str">
        <x:v>Glücksfenster Service GmbH</x:v>
      </x:c>
      <x:c r="E558" s="14" t="str">
        <x:v>Teilnahmeservice GF-90335 / 2026-08</x:v>
      </x:c>
      <x:c r="F558" s="12" t="n">
        <x:v>-29.9</x:v>
      </x:c>
      <x:c r="G558" s="13" t="n">
        <x:v>46244</x:v>
      </x:c>
      <x:c r="H558" s="2" t="str">
        <x:v>02_Konten/GIRO_2026-08.pdf</x:v>
      </x:c>
      <x:c r="I558" s="2" t="str"/>
      <x:c r="J558" s="2" t="str">
        <x:v>B0527</x:v>
      </x:c>
    </x:row>
    <x:row r="559" ht="35" customHeight="1">
      <x:c r="A559" s="2" t="str">
        <x:v>B0528</x:v>
      </x:c>
      <x:c r="B559" s="2" t="str">
        <x:v>GIRO</x:v>
      </x:c>
      <x:c r="C559" s="13" t="n">
        <x:v>46245</x:v>
      </x:c>
      <x:c r="D559" s="14" t="str">
        <x:v>LebensKompass Direkt GmbH</x:v>
      </x:c>
      <x:c r="E559" s="14" t="str">
        <x:v>Digitalpaket LK-55771 / 2026-08</x:v>
      </x:c>
      <x:c r="F559" s="12" t="n">
        <x:v>-69.9</x:v>
      </x:c>
      <x:c r="G559" s="13" t="n">
        <x:v>46245</x:v>
      </x:c>
      <x:c r="H559" s="2" t="str">
        <x:v>02_Konten/GIRO_2026-08.pdf</x:v>
      </x:c>
      <x:c r="I559" s="2" t="str"/>
      <x:c r="J559" s="2" t="str">
        <x:v>B0528</x:v>
      </x:c>
    </x:row>
    <x:row r="560" ht="35" customHeight="1">
      <x:c r="A560" s="2" t="str">
        <x:v>B0576</x:v>
      </x:c>
      <x:c r="B560" s="2" t="str">
        <x:v>GIRO</x:v>
      </x:c>
      <x:c r="C560" s="13" t="n">
        <x:v>46245</x:v>
      </x:c>
      <x:c r="D560" s="14" t="str">
        <x:v>Egon Knusper</x:v>
      </x:c>
      <x:c r="E560" s="14" t="str">
        <x:v>Jahrespaket Hilfe voraus</x:v>
      </x:c>
      <x:c r="F560" s="12" t="n">
        <x:v>-980</x:v>
      </x:c>
      <x:c r="G560" s="13" t="n">
        <x:v>46245</x:v>
      </x:c>
      <x:c r="H560" s="2" t="str">
        <x:v>02_Konten/GIRO_2026-08.pdf</x:v>
      </x:c>
      <x:c r="I560" s="2" t="str"/>
      <x:c r="J560" s="2" t="str">
        <x:v>B0576</x:v>
      </x:c>
    </x:row>
    <x:row r="561" ht="35" customHeight="1">
      <x:c r="A561" s="2" t="str">
        <x:v>B0520</x:v>
      </x:c>
      <x:c r="B561" s="2" t="str">
        <x:v>GIRO</x:v>
      </x:c>
      <x:c r="C561" s="13" t="n">
        <x:v>46246</x:v>
      </x:c>
      <x:c r="D561" s="14" t="str">
        <x:v>Alltagshilfe Mohnblüte GmbH</x:v>
      </x:c>
      <x:c r="E561" s="14" t="str">
        <x:v>Haushaltshilfe Rechnung MH-2026-08</x:v>
      </x:c>
      <x:c r="F561" s="12" t="n">
        <x:v>-126.5</x:v>
      </x:c>
      <x:c r="G561" s="13" t="n">
        <x:v>46246</x:v>
      </x:c>
      <x:c r="H561" s="2" t="str">
        <x:v>02_Konten/GIRO_2026-08.pdf</x:v>
      </x:c>
      <x:c r="I561" s="2" t="str">
        <x:v>MH-2026-08</x:v>
      </x:c>
      <x:c r="J561" s="2" t="str">
        <x:v>B0520</x:v>
      </x:c>
    </x:row>
    <x:row r="562" ht="35" customHeight="1">
      <x:c r="A562" s="2" t="str">
        <x:v>B0521</x:v>
      </x:c>
      <x:c r="B562" s="2" t="str">
        <x:v>GIRO</x:v>
      </x:c>
      <x:c r="C562" s="13" t="n">
        <x:v>46248</x:v>
      </x:c>
      <x:c r="D562" s="14" t="str">
        <x:v>Frischemarkt Karow</x:v>
      </x:c>
      <x:c r="E562" s="14" t="str">
        <x:v>Kartenzahlung Lebensmittel, Belegserie FK 2026-08</x:v>
      </x:c>
      <x:c r="F562" s="12" t="n">
        <x:v>-261.58</x:v>
      </x:c>
      <x:c r="G562" s="13" t="n">
        <x:v>46248</x:v>
      </x:c>
      <x:c r="H562" s="2" t="str">
        <x:v>02_Konten/GIRO_2026-08.pdf</x:v>
      </x:c>
      <x:c r="I562" s="2" t="str"/>
      <x:c r="J562" s="2" t="str">
        <x:v>B0521</x:v>
      </x:c>
    </x:row>
    <x:row r="563" ht="35" customHeight="1">
      <x:c r="A563" s="2" t="str">
        <x:v>B0522</x:v>
      </x:c>
      <x:c r="B563" s="2" t="str">
        <x:v>GIRO</x:v>
      </x:c>
      <x:c r="C563" s="13" t="n">
        <x:v>46251</x:v>
      </x:c>
      <x:c r="D563" s="14" t="str">
        <x:v>Apotheke Silberblatt</x:v>
      </x:c>
      <x:c r="E563" s="14" t="str">
        <x:v>Zuzahlung und Pflegebedarf 2026-08</x:v>
      </x:c>
      <x:c r="F563" s="12" t="n">
        <x:v>-26.92</x:v>
      </x:c>
      <x:c r="G563" s="13" t="n">
        <x:v>46251</x:v>
      </x:c>
      <x:c r="H563" s="2" t="str">
        <x:v>02_Konten/GIRO_2026-08.pdf</x:v>
      </x:c>
      <x:c r="I563" s="2" t="str"/>
      <x:c r="J563" s="2" t="str">
        <x:v>B0522</x:v>
      </x:c>
    </x:row>
    <x:row r="564" ht="35" customHeight="1">
      <x:c r="A564" s="2" t="str">
        <x:v>B0523</x:v>
      </x:c>
      <x:c r="B564" s="2" t="str">
        <x:v>GIRO</x:v>
      </x:c>
      <x:c r="C564" s="13" t="n">
        <x:v>46252</x:v>
      </x:c>
      <x:c r="D564" s="14" t="str">
        <x:v>Geldautomat Karow</x:v>
      </x:c>
      <x:c r="E564" s="14" t="str">
        <x:v>Bargeldauszahlung Karte 0441, Terminal KA-03</x:v>
      </x:c>
      <x:c r="F564" s="12" t="n">
        <x:v>-200</x:v>
      </x:c>
      <x:c r="G564" s="13" t="n">
        <x:v>46252</x:v>
      </x:c>
      <x:c r="H564" s="2" t="str">
        <x:v>02_Konten/GIRO_2026-08.pdf</x:v>
      </x:c>
      <x:c r="I564" s="2" t="str"/>
      <x:c r="J564" s="2" t="str">
        <x:v>B0523</x:v>
      </x:c>
    </x:row>
    <x:row r="565" ht="35" customHeight="1">
      <x:c r="A565" s="2" t="str">
        <x:v>B0524</x:v>
      </x:c>
      <x:c r="B565" s="2" t="str">
        <x:v>GIRO</x:v>
      </x:c>
      <x:c r="C565" s="13" t="n">
        <x:v>46254</x:v>
      </x:c>
      <x:c r="D565" s="14" t="str">
        <x:v>Tierladen Pfötchen</x:v>
      </x:c>
      <x:c r="E565" s="14" t="str">
        <x:v>Futter und Streu für Kater Mürbchen</x:v>
      </x:c>
      <x:c r="F565" s="12" t="n">
        <x:v>-48.5</x:v>
      </x:c>
      <x:c r="G565" s="13" t="n">
        <x:v>46254</x:v>
      </x:c>
      <x:c r="H565" s="2" t="str">
        <x:v>02_Konten/GIRO_2026-08.pdf</x:v>
      </x:c>
      <x:c r="I565" s="2" t="str"/>
      <x:c r="J565" s="2" t="str">
        <x:v>B0524</x:v>
      </x:c>
    </x:row>
    <x:row r="566" ht="35" customHeight="1">
      <x:c r="A566" s="2" t="str">
        <x:v>B0525</x:v>
      </x:c>
      <x:c r="B566" s="2" t="str">
        <x:v>GIRO</x:v>
      </x:c>
      <x:c r="C566" s="13" t="n">
        <x:v>46258</x:v>
      </x:c>
      <x:c r="D566" s="14" t="str">
        <x:v>SofaKino Digital GmbH</x:v>
      </x:c>
      <x:c r="E566" s="14" t="str">
        <x:v>Monatsabo SK-77380 / 2026-08</x:v>
      </x:c>
      <x:c r="F566" s="12" t="n">
        <x:v>-12.99</x:v>
      </x:c>
      <x:c r="G566" s="13" t="n">
        <x:v>46258</x:v>
      </x:c>
      <x:c r="H566" s="2" t="str">
        <x:v>02_Konten/GIRO_2026-08.pdf</x:v>
      </x:c>
      <x:c r="I566" s="2" t="str"/>
      <x:c r="J566" s="2" t="str">
        <x:v>B0525</x:v>
      </x:c>
    </x:row>
    <x:row r="567" ht="35" customHeight="1">
      <x:c r="A567" s="2" t="str">
        <x:v>B0529</x:v>
      </x:c>
      <x:c r="B567" s="2" t="str">
        <x:v>GIRO</x:v>
      </x:c>
      <x:c r="C567" s="13" t="n">
        <x:v>46258</x:v>
      </x:c>
      <x:c r="D567" s="14" t="str">
        <x:v>Egon Knusper</x:v>
      </x:c>
      <x:c r="E567" s="14" t="str">
        <x:v>Pauschale Einkauf und Technik 2026-08</x:v>
      </x:c>
      <x:c r="F567" s="12" t="n">
        <x:v>-145</x:v>
      </x:c>
      <x:c r="G567" s="13" t="n">
        <x:v>46258</x:v>
      </x:c>
      <x:c r="H567" s="2" t="str">
        <x:v>02_Konten/GIRO_2026-08.pdf</x:v>
      </x:c>
      <x:c r="I567" s="2" t="str">
        <x:v>EK-2026-08</x:v>
      </x:c>
      <x:c r="J567" s="2" t="str">
        <x:v>B0529</x:v>
      </x:c>
    </x:row>
    <x:row r="568" ht="35" customHeight="1">
      <x:c r="A568" s="2" t="str">
        <x:v>B0526</x:v>
      </x:c>
      <x:c r="B568" s="2" t="str">
        <x:v>GIRO</x:v>
      </x:c>
      <x:c r="C568" s="13" t="n">
        <x:v>46260</x:v>
      </x:c>
      <x:c r="D568" s="14" t="str">
        <x:v>Fensterbank Spree eG</x:v>
      </x:c>
      <x:c r="E568" s="14" t="str">
        <x:v>Kontoführung 2026-08</x:v>
      </x:c>
      <x:c r="F568" s="12" t="n">
        <x:v>-6.9</x:v>
      </x:c>
      <x:c r="G568" s="13" t="n">
        <x:v>46260</x:v>
      </x:c>
      <x:c r="H568" s="2" t="str">
        <x:v>02_Konten/GIRO_2026-08.pdf</x:v>
      </x:c>
      <x:c r="I568" s="2" t="str"/>
      <x:c r="J568" s="2" t="str">
        <x:v>B0526</x:v>
      </x:c>
    </x:row>
    <x:row r="569" ht="35" customHeight="1">
      <x:c r="A569" s="2" t="str">
        <x:v>B0515</x:v>
      </x:c>
      <x:c r="B569" s="2" t="str">
        <x:v>GIRO</x:v>
      </x:c>
      <x:c r="C569" s="13" t="n">
        <x:v>46262</x:v>
      </x:c>
      <x:c r="D569" s="14" t="str">
        <x:v>Rentenstelle Nord</x:v>
      </x:c>
      <x:c r="E569" s="14" t="str">
        <x:v>Altersrente 2026-08</x:v>
      </x:c>
      <x:c r="F569" s="12" t="n">
        <x:v>2080</x:v>
      </x:c>
      <x:c r="G569" s="13" t="n">
        <x:v>46262</x:v>
      </x:c>
      <x:c r="H569" s="2" t="str">
        <x:v>02_Konten/GIRO_2026-08.pdf</x:v>
      </x:c>
      <x:c r="I569" s="2" t="str"/>
      <x:c r="J569" s="2" t="str">
        <x:v>B0515</x:v>
      </x:c>
    </x:row>
    <x:row r="570" ht="35" customHeight="1">
      <x:c r="A570" s="2" t="str">
        <x:v>B0516</x:v>
      </x:c>
      <x:c r="B570" s="2" t="str">
        <x:v>GIRO</x:v>
      </x:c>
      <x:c r="C570" s="13" t="n">
        <x:v>46262</x:v>
      </x:c>
      <x:c r="D570" s="14" t="str">
        <x:v>Rentenstelle Nord</x:v>
      </x:c>
      <x:c r="E570" s="14" t="str">
        <x:v>Hinterbliebenenrente 2026-08</x:v>
      </x:c>
      <x:c r="F570" s="12" t="n">
        <x:v>485</x:v>
      </x:c>
      <x:c r="G570" s="13" t="n">
        <x:v>46262</x:v>
      </x:c>
      <x:c r="H570" s="2" t="str">
        <x:v>02_Konten/GIRO_2026-08.pdf</x:v>
      </x:c>
      <x:c r="I570" s="2" t="str"/>
      <x:c r="J570" s="2" t="str">
        <x:v>B0516</x:v>
      </x:c>
    </x:row>
    <x:row r="571" ht="35" customHeight="1">
      <x:c r="A571" s="2" t="str">
        <x:v>B0532</x:v>
      </x:c>
      <x:c r="B571" s="2" t="str">
        <x:v>GIRO</x:v>
      </x:c>
      <x:c r="C571" s="13" t="n">
        <x:v>46268</x:v>
      </x:c>
      <x:c r="D571" s="14" t="str">
        <x:v>Hausverwaltung Lindenblatt KG</x:v>
      </x:c>
      <x:c r="E571" s="14" t="str">
        <x:v>Warmmiete Fliederbogen 17 / 2026-09</x:v>
      </x:c>
      <x:c r="F571" s="12" t="n">
        <x:v>-820</x:v>
      </x:c>
      <x:c r="G571" s="13" t="n">
        <x:v>46268</x:v>
      </x:c>
      <x:c r="H571" s="2" t="str">
        <x:v>02_Konten/GIRO_2026-09.pdf</x:v>
      </x:c>
      <x:c r="I571" s="2" t="str"/>
      <x:c r="J571" s="2" t="str">
        <x:v>B0532</x:v>
      </x:c>
    </x:row>
    <x:row r="572" ht="35" customHeight="1">
      <x:c r="A572" s="2" t="str">
        <x:v>B0533</x:v>
      </x:c>
      <x:c r="B572" s="2" t="str">
        <x:v>GIRO</x:v>
      </x:c>
      <x:c r="C572" s="13" t="n">
        <x:v>46272</x:v>
      </x:c>
      <x:c r="D572" s="14" t="str">
        <x:v>Nordlicht Energie Berlin GmbH</x:v>
      </x:c>
      <x:c r="E572" s="14" t="str">
        <x:v>Abschlag Kundennummer NE-48017 / 2026-09</x:v>
      </x:c>
      <x:c r="F572" s="12" t="n">
        <x:v>-79</x:v>
      </x:c>
      <x:c r="G572" s="13" t="n">
        <x:v>46272</x:v>
      </x:c>
      <x:c r="H572" s="2" t="str">
        <x:v>02_Konten/GIRO_2026-09.pdf</x:v>
      </x:c>
      <x:c r="I572" s="2" t="str"/>
      <x:c r="J572" s="2" t="str">
        <x:v>B0533</x:v>
      </x:c>
    </x:row>
    <x:row r="573" ht="35" customHeight="1">
      <x:c r="A573" s="2" t="str">
        <x:v>B0534</x:v>
      </x:c>
      <x:c r="B573" s="2" t="str">
        <x:v>GIRO</x:v>
      </x:c>
      <x:c r="C573" s="13" t="n">
        <x:v>46273</x:v>
      </x:c>
      <x:c r="D573" s="14" t="str">
        <x:v>Sprechfink Telekom GmbH</x:v>
      </x:c>
      <x:c r="E573" s="14" t="str">
        <x:v>Festnetz und Internet SP-118044 / 2026-09</x:v>
      </x:c>
      <x:c r="F573" s="12" t="n">
        <x:v>-44.99</x:v>
      </x:c>
      <x:c r="G573" s="13" t="n">
        <x:v>46273</x:v>
      </x:c>
      <x:c r="H573" s="2" t="str">
        <x:v>02_Konten/GIRO_2026-09.pdf</x:v>
      </x:c>
      <x:c r="I573" s="2" t="str">
        <x:v>TEL-2026-09</x:v>
      </x:c>
      <x:c r="J573" s="2" t="str">
        <x:v>B0534</x:v>
      </x:c>
    </x:row>
    <x:row r="574" ht="35" customHeight="1">
      <x:c r="A574" s="2" t="str">
        <x:v>B0542</x:v>
      </x:c>
      <x:c r="B574" s="2" t="str">
        <x:v>GIRO</x:v>
      </x:c>
      <x:c r="C574" s="13" t="n">
        <x:v>46274</x:v>
      </x:c>
      <x:c r="D574" s="14" t="str">
        <x:v>Glücksfenster Service GmbH</x:v>
      </x:c>
      <x:c r="E574" s="14" t="str">
        <x:v>Teilnahmeservice GF-90335 / 2026-09</x:v>
      </x:c>
      <x:c r="F574" s="12" t="n">
        <x:v>-29.9</x:v>
      </x:c>
      <x:c r="G574" s="13" t="n">
        <x:v>46274</x:v>
      </x:c>
      <x:c r="H574" s="2" t="str">
        <x:v>02_Konten/GIRO_2026-09.pdf</x:v>
      </x:c>
      <x:c r="I574" s="2" t="str"/>
      <x:c r="J574" s="2" t="str">
        <x:v>B0542</x:v>
      </x:c>
    </x:row>
    <x:row r="575" ht="35" customHeight="1">
      <x:c r="A575" s="2" t="str">
        <x:v>B0577</x:v>
      </x:c>
      <x:c r="B575" s="2" t="str">
        <x:v>GIRO</x:v>
      </x:c>
      <x:c r="C575" s="13" t="n">
        <x:v>46275</x:v>
      </x:c>
      <x:c r="D575" s="14" t="str">
        <x:v>Geldautomat Karow</x:v>
      </x:c>
      <x:c r="E575" s="14" t="str">
        <x:v>Bargeldauszahlung Karte 0441, Terminal KA-03</x:v>
      </x:c>
      <x:c r="F575" s="12" t="n">
        <x:v>-650</x:v>
      </x:c>
      <x:c r="G575" s="13" t="n">
        <x:v>46275</x:v>
      </x:c>
      <x:c r="H575" s="2" t="str">
        <x:v>02_Konten/GIRO_2026-09.pdf</x:v>
      </x:c>
      <x:c r="I575" s="2" t="str"/>
      <x:c r="J575" s="2" t="str">
        <x:v>B0577</x:v>
      </x:c>
    </x:row>
    <x:row r="576" ht="35" customHeight="1">
      <x:c r="A576" s="2" t="str">
        <x:v>B0543</x:v>
      </x:c>
      <x:c r="B576" s="2" t="str">
        <x:v>GIRO</x:v>
      </x:c>
      <x:c r="C576" s="13" t="n">
        <x:v>46276</x:v>
      </x:c>
      <x:c r="D576" s="14" t="str">
        <x:v>LebensKompass Direkt GmbH</x:v>
      </x:c>
      <x:c r="E576" s="14" t="str">
        <x:v>Digitalpaket LK-55771 / 2026-09</x:v>
      </x:c>
      <x:c r="F576" s="12" t="n">
        <x:v>-69.9</x:v>
      </x:c>
      <x:c r="G576" s="13" t="n">
        <x:v>46276</x:v>
      </x:c>
      <x:c r="H576" s="2" t="str">
        <x:v>02_Konten/GIRO_2026-09.pdf</x:v>
      </x:c>
      <x:c r="I576" s="2" t="str"/>
      <x:c r="J576" s="2" t="str">
        <x:v>B0543</x:v>
      </x:c>
    </x:row>
    <x:row r="577" ht="35" customHeight="1">
      <x:c r="A577" s="2" t="str">
        <x:v>B0535</x:v>
      </x:c>
      <x:c r="B577" s="2" t="str">
        <x:v>GIRO</x:v>
      </x:c>
      <x:c r="C577" s="13" t="n">
        <x:v>46279</x:v>
      </x:c>
      <x:c r="D577" s="14" t="str">
        <x:v>Alltagshilfe Mohnblüte GmbH</x:v>
      </x:c>
      <x:c r="E577" s="14" t="str">
        <x:v>Haushaltshilfe Rechnung MH-2026-09</x:v>
      </x:c>
      <x:c r="F577" s="12" t="n">
        <x:v>-126.5</x:v>
      </x:c>
      <x:c r="G577" s="13" t="n">
        <x:v>46279</x:v>
      </x:c>
      <x:c r="H577" s="2" t="str">
        <x:v>02_Konten/GIRO_2026-09.pdf</x:v>
      </x:c>
      <x:c r="I577" s="2" t="str">
        <x:v>MH-2026-09</x:v>
      </x:c>
      <x:c r="J577" s="2" t="str">
        <x:v>B0535</x:v>
      </x:c>
    </x:row>
    <x:row r="578" ht="35" customHeight="1">
      <x:c r="A578" s="2" t="str">
        <x:v>B0536</x:v>
      </x:c>
      <x:c r="B578" s="2" t="str">
        <x:v>GIRO</x:v>
      </x:c>
      <x:c r="C578" s="13" t="n">
        <x:v>46279</x:v>
      </x:c>
      <x:c r="D578" s="14" t="str">
        <x:v>Frischemarkt Karow</x:v>
      </x:c>
      <x:c r="E578" s="14" t="str">
        <x:v>Kartenzahlung Lebensmittel, Belegserie FK 2026-09</x:v>
      </x:c>
      <x:c r="F578" s="12" t="n">
        <x:v>-262.95</x:v>
      </x:c>
      <x:c r="G578" s="13" t="n">
        <x:v>46279</x:v>
      </x:c>
      <x:c r="H578" s="2" t="str">
        <x:v>02_Konten/GIRO_2026-09.pdf</x:v>
      </x:c>
      <x:c r="I578" s="2" t="str"/>
      <x:c r="J578" s="2" t="str">
        <x:v>B0536</x:v>
      </x:c>
    </x:row>
    <x:row r="579" ht="35" customHeight="1">
      <x:c r="A579" s="2" t="str">
        <x:v>B0537</x:v>
      </x:c>
      <x:c r="B579" s="2" t="str">
        <x:v>GIRO</x:v>
      </x:c>
      <x:c r="C579" s="13" t="n">
        <x:v>46280</x:v>
      </x:c>
      <x:c r="D579" s="14" t="str">
        <x:v>Apotheke Silberblatt</x:v>
      </x:c>
      <x:c r="E579" s="14" t="str">
        <x:v>Zuzahlung und Pflegebedarf 2026-09</x:v>
      </x:c>
      <x:c r="F579" s="12" t="n">
        <x:v>-28.05</x:v>
      </x:c>
      <x:c r="G579" s="13" t="n">
        <x:v>46280</x:v>
      </x:c>
      <x:c r="H579" s="2" t="str">
        <x:v>02_Konten/GIRO_2026-09.pdf</x:v>
      </x:c>
      <x:c r="I579" s="2" t="str"/>
      <x:c r="J579" s="2" t="str">
        <x:v>B0537</x:v>
      </x:c>
    </x:row>
    <x:row r="580" ht="35" customHeight="1">
      <x:c r="A580" s="2" t="str">
        <x:v>B0538</x:v>
      </x:c>
      <x:c r="B580" s="2" t="str">
        <x:v>GIRO</x:v>
      </x:c>
      <x:c r="C580" s="13" t="n">
        <x:v>46283</x:v>
      </x:c>
      <x:c r="D580" s="14" t="str">
        <x:v>Geldautomat Karow</x:v>
      </x:c>
      <x:c r="E580" s="14" t="str">
        <x:v>Bargeldauszahlung Karte 0441, Terminal KA-03</x:v>
      </x:c>
      <x:c r="F580" s="12" t="n">
        <x:v>-200</x:v>
      </x:c>
      <x:c r="G580" s="13" t="n">
        <x:v>46283</x:v>
      </x:c>
      <x:c r="H580" s="2" t="str">
        <x:v>02_Konten/GIRO_2026-09.pdf</x:v>
      </x:c>
      <x:c r="I580" s="2" t="str"/>
      <x:c r="J580" s="2" t="str">
        <x:v>B0538</x:v>
      </x:c>
    </x:row>
    <x:row r="581" ht="35" customHeight="1">
      <x:c r="A581" s="2" t="str">
        <x:v>B0578</x:v>
      </x:c>
      <x:c r="B581" s="2" t="str">
        <x:v>GIRO</x:v>
      </x:c>
      <x:c r="C581" s="13" t="n">
        <x:v>46283</x:v>
      </x:c>
      <x:c r="D581" s="14" t="str">
        <x:v>Glücksfenster Service GmbH</x:v>
      </x:c>
      <x:c r="E581" s="14" t="str">
        <x:v>Gebühr Sonderziehung GF-90335</x:v>
      </x:c>
      <x:c r="F581" s="12" t="n">
        <x:v>-89</x:v>
      </x:c>
      <x:c r="G581" s="13" t="n">
        <x:v>46283</x:v>
      </x:c>
      <x:c r="H581" s="2" t="str">
        <x:v>02_Konten/GIRO_2026-09.pdf</x:v>
      </x:c>
      <x:c r="I581" s="2" t="str"/>
      <x:c r="J581" s="2" t="str">
        <x:v>B0578</x:v>
      </x:c>
    </x:row>
    <x:row r="582" ht="35" customHeight="1">
      <x:c r="A582" s="2" t="str">
        <x:v>B0539</x:v>
      </x:c>
      <x:c r="B582" s="2" t="str">
        <x:v>GIRO</x:v>
      </x:c>
      <x:c r="C582" s="13" t="n">
        <x:v>46286</x:v>
      </x:c>
      <x:c r="D582" s="14" t="str">
        <x:v>Tierladen Pfötchen</x:v>
      </x:c>
      <x:c r="E582" s="14" t="str">
        <x:v>Futter und Streu für Kater Mürbchen</x:v>
      </x:c>
      <x:c r="F582" s="12" t="n">
        <x:v>-48.5</x:v>
      </x:c>
      <x:c r="G582" s="13" t="n">
        <x:v>46286</x:v>
      </x:c>
      <x:c r="H582" s="2" t="str">
        <x:v>02_Konten/GIRO_2026-09.pdf</x:v>
      </x:c>
      <x:c r="I582" s="2" t="str"/>
      <x:c r="J582" s="2" t="str">
        <x:v>B0539</x:v>
      </x:c>
    </x:row>
    <x:row r="583" ht="35" customHeight="1">
      <x:c r="A583" s="2" t="str">
        <x:v>B0545</x:v>
      </x:c>
      <x:c r="B583" s="2" t="str">
        <x:v>GIRO</x:v>
      </x:c>
      <x:c r="C583" s="13" t="n">
        <x:v>46286</x:v>
      </x:c>
      <x:c r="D583" s="14" t="str">
        <x:v>Kirchengemeinde Am Fliederbogen</x:v>
      </x:c>
      <x:c r="E583" s="14" t="str">
        <x:v>Gemeindespende</x:v>
      </x:c>
      <x:c r="F583" s="12" t="n">
        <x:v>-15</x:v>
      </x:c>
      <x:c r="G583" s="13" t="n">
        <x:v>46286</x:v>
      </x:c>
      <x:c r="H583" s="2" t="str">
        <x:v>02_Konten/GIRO_2026-09.pdf</x:v>
      </x:c>
      <x:c r="I583" s="2" t="str"/>
      <x:c r="J583" s="2" t="str">
        <x:v>B0545</x:v>
      </x:c>
    </x:row>
    <x:row r="584" ht="35" customHeight="1">
      <x:c r="A584" s="2" t="str">
        <x:v>B0546</x:v>
      </x:c>
      <x:c r="B584" s="2" t="str">
        <x:v>GIRO</x:v>
      </x:c>
      <x:c r="C584" s="13" t="n">
        <x:v>46286</x:v>
      </x:c>
      <x:c r="D584" s="14" t="str">
        <x:v>Adelheid Pfister Sparen</x:v>
      </x:c>
      <x:c r="E584" s="14" t="str">
        <x:v>Umbuchung auf eigenes Sparkonto</x:v>
      </x:c>
      <x:c r="F584" s="12" t="n">
        <x:v>-250</x:v>
      </x:c>
      <x:c r="G584" s="13" t="n">
        <x:v>46286</x:v>
      </x:c>
      <x:c r="H584" s="2" t="str">
        <x:v>02_Konten/GIRO_2026-09.pdf</x:v>
      </x:c>
      <x:c r="I584" s="2" t="str"/>
      <x:c r="J584" s="2" t="str">
        <x:v>B0546</x:v>
      </x:c>
    </x:row>
    <x:row r="585" ht="35" customHeight="1">
      <x:c r="A585" s="2" t="str">
        <x:v>B0547</x:v>
      </x:c>
      <x:c r="B585" s="2" t="str">
        <x:v>SPAR</x:v>
      </x:c>
      <x:c r="C585" s="13" t="n">
        <x:v>46286</x:v>
      </x:c>
      <x:c r="D585" s="14" t="str">
        <x:v>Adelheid Pfister Giro</x:v>
      </x:c>
      <x:c r="E585" s="14" t="str">
        <x:v>Umbuchung vom eigenen Girokonto</x:v>
      </x:c>
      <x:c r="F585" s="12" t="n">
        <x:v>250</x:v>
      </x:c>
      <x:c r="G585" s="13" t="n">
        <x:v>46286</x:v>
      </x:c>
      <x:c r="H585" s="2" t="str">
        <x:v>02_Konten/SPAR_2026-09.pdf</x:v>
      </x:c>
      <x:c r="I585" s="2" t="str"/>
      <x:c r="J585" s="2" t="str">
        <x:v>B0547</x:v>
      </x:c>
    </x:row>
    <x:row r="586" ht="35" customHeight="1">
      <x:c r="A586" s="2" t="str">
        <x:v>B0540</x:v>
      </x:c>
      <x:c r="B586" s="2" t="str">
        <x:v>GIRO</x:v>
      </x:c>
      <x:c r="C586" s="13" t="n">
        <x:v>46287</x:v>
      </x:c>
      <x:c r="D586" s="14" t="str">
        <x:v>SofaKino Digital GmbH</x:v>
      </x:c>
      <x:c r="E586" s="14" t="str">
        <x:v>Monatsabo SK-77380 / 2026-09</x:v>
      </x:c>
      <x:c r="F586" s="12" t="n">
        <x:v>-12.99</x:v>
      </x:c>
      <x:c r="G586" s="13" t="n">
        <x:v>46287</x:v>
      </x:c>
      <x:c r="H586" s="2" t="str">
        <x:v>02_Konten/GIRO_2026-09.pdf</x:v>
      </x:c>
      <x:c r="I586" s="2" t="str"/>
      <x:c r="J586" s="2" t="str">
        <x:v>B0540</x:v>
      </x:c>
    </x:row>
    <x:row r="587" ht="35" customHeight="1">
      <x:c r="A587" s="2" t="str">
        <x:v>B0544</x:v>
      </x:c>
      <x:c r="B587" s="2" t="str">
        <x:v>GIRO</x:v>
      </x:c>
      <x:c r="C587" s="13" t="n">
        <x:v>46289</x:v>
      </x:c>
      <x:c r="D587" s="14" t="str">
        <x:v>Egon Knusper</x:v>
      </x:c>
      <x:c r="E587" s="14" t="str">
        <x:v>Pauschale Einkauf und Technik 2026-09</x:v>
      </x:c>
      <x:c r="F587" s="12" t="n">
        <x:v>-145</x:v>
      </x:c>
      <x:c r="G587" s="13" t="n">
        <x:v>46289</x:v>
      </x:c>
      <x:c r="H587" s="2" t="str">
        <x:v>02_Konten/GIRO_2026-09.pdf</x:v>
      </x:c>
      <x:c r="I587" s="2" t="str">
        <x:v>EK-2026-09</x:v>
      </x:c>
      <x:c r="J587" s="2" t="str">
        <x:v>B0544</x:v>
      </x:c>
    </x:row>
    <x:row r="588" ht="35" customHeight="1">
      <x:c r="A588" s="2" t="str">
        <x:v>B0530</x:v>
      </x:c>
      <x:c r="B588" s="2" t="str">
        <x:v>GIRO</x:v>
      </x:c>
      <x:c r="C588" s="13" t="n">
        <x:v>46293</x:v>
      </x:c>
      <x:c r="D588" s="14" t="str">
        <x:v>Rentenstelle Nord</x:v>
      </x:c>
      <x:c r="E588" s="14" t="str">
        <x:v>Altersrente 2026-09</x:v>
      </x:c>
      <x:c r="F588" s="12" t="n">
        <x:v>2080</x:v>
      </x:c>
      <x:c r="G588" s="13" t="n">
        <x:v>46293</x:v>
      </x:c>
      <x:c r="H588" s="2" t="str">
        <x:v>02_Konten/GIRO_2026-09.pdf</x:v>
      </x:c>
      <x:c r="I588" s="2" t="str"/>
      <x:c r="J588" s="2" t="str">
        <x:v>B0530</x:v>
      </x:c>
    </x:row>
    <x:row r="589" ht="35" customHeight="1">
      <x:c r="A589" s="2" t="str">
        <x:v>B0531</x:v>
      </x:c>
      <x:c r="B589" s="2" t="str">
        <x:v>GIRO</x:v>
      </x:c>
      <x:c r="C589" s="13" t="n">
        <x:v>46293</x:v>
      </x:c>
      <x:c r="D589" s="14" t="str">
        <x:v>Rentenstelle Nord</x:v>
      </x:c>
      <x:c r="E589" s="14" t="str">
        <x:v>Hinterbliebenenrente 2026-09</x:v>
      </x:c>
      <x:c r="F589" s="12" t="n">
        <x:v>485</x:v>
      </x:c>
      <x:c r="G589" s="13" t="n">
        <x:v>46293</x:v>
      </x:c>
      <x:c r="H589" s="2" t="str">
        <x:v>02_Konten/GIRO_2026-09.pdf</x:v>
      </x:c>
      <x:c r="I589" s="2" t="str"/>
      <x:c r="J589" s="2" t="str">
        <x:v>B0531</x:v>
      </x:c>
    </x:row>
    <x:row r="590" ht="35" customHeight="1">
      <x:c r="A590" s="2" t="str">
        <x:v>B0541</x:v>
      </x:c>
      <x:c r="B590" s="2" t="str">
        <x:v>GIRO</x:v>
      </x:c>
      <x:c r="C590" s="13" t="n">
        <x:v>46293</x:v>
      </x:c>
      <x:c r="D590" s="14" t="str">
        <x:v>Fensterbank Spree eG</x:v>
      </x:c>
      <x:c r="E590" s="14" t="str">
        <x:v>Kontoführung 2026-09</x:v>
      </x:c>
      <x:c r="F590" s="12" t="n">
        <x:v>-6.9</x:v>
      </x:c>
      <x:c r="G590" s="13" t="n">
        <x:v>46293</x:v>
      </x:c>
      <x:c r="H590" s="2" t="str">
        <x:v>02_Konten/GIRO_2026-09.pdf</x:v>
      </x:c>
      <x:c r="I590" s="2" t="str"/>
      <x:c r="J590" s="2" t="str">
        <x:v>B0541</x:v>
      </x:c>
    </x:row>
  </x:sheetData>
  <x:pageMargins left="0.7" right="0.7" top="0.75" bottom="0.75" header="0.3" footer="0.3"/>
  <x:tableParts count="1">
    <x:tablePart xmlns:r="http://schemas.openxmlformats.org/officeDocument/2006/relationships" r:id="R61402c4ff03f4a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0" hidden="0" customWidth="1"/>
  </x:cols>
  <x:sheetData>
    <x:row r="1" ht="22" customHeight="1">
      <x:c r="A1" s="2"/>
      <x:c r="B1" s="2"/>
    </x:row>
    <x:row r="2" ht="22" customHeight="1">
      <x:c r="A2" s="3" t="str">
        <x:v>Lesehinweise zum Kontenexport</x:v>
      </x:c>
      <x:c r="B2" s="2"/>
    </x:row>
    <x:row r="3" ht="22" customHeight="1">
      <x:c r="A3" s="4"/>
      <x:c r="B3" s="4"/>
    </x:row>
    <x:row r="4" ht="22" customHeight="1">
      <x:c r="A4" s="5" t="str">
        <x:v>Auszug aus den vorgelegten Kontenunterlagen.</x:v>
      </x:c>
      <x:c r="B4" s="2"/>
    </x:row>
    <x:row r="5" ht="22" customHeight="1">
      <x:c r="A5" s="2"/>
      <x:c r="B5" s="2"/>
    </x:row>
    <x:row r="6" ht="50" customHeight="1">
      <x:c r="A6" s="14" t="str">
        <x:v>1. Inhaberin</x:v>
      </x:c>
      <x:c r="B6" s="14" t="str">
        <x:v>Adelheid Pfister</x:v>
      </x:c>
    </x:row>
    <x:row r="7" ht="50" customHeight="1">
      <x:c r="A7" s="14" t="str">
        <x:v>2. Zeitraum</x:v>
      </x:c>
      <x:c r="B7" s="14" t="str">
        <x:v>Die Datei umfasst Buchungstage vom 01.10.2023 bis einschließlich 30.09.2026.</x:v>
      </x:c>
    </x:row>
    <x:row r="8" ht="50" customHeight="1">
      <x:c r="A8" s="14" t="str">
        <x:v>3. Konten</x:v>
      </x:c>
      <x:c r="B8" s="14" t="str">
        <x:v>GIRO: Girokonto Endziffern 0441; SPAR: Sparkonto Endziffern 0987</x:v>
      </x:c>
    </x:row>
    <x:row r="9" ht="50" customHeight="1">
      <x:c r="A9" s="14" t="str">
        <x:v>4. Vorzeichen</x:v>
      </x:c>
      <x:c r="B9" s="14" t="str">
        <x:v>Positive Beträge sind Bankgutschriften, negative Beträge Bankbelastungen.</x:v>
      </x:c>
    </x:row>
    <x:row r="10" ht="50" customHeight="1">
      <x:c r="A10" s="14" t="str">
        <x:v>5. Monatsrechnung</x:v>
      </x:c>
      <x:c r="B10" s="14" t="str">
        <x:v>Anfang plus Gutschriften minus Belastungen ergibt den rechnerischen Endsaldo. Die Differenz vergleicht ihn mit dem ausgewiesenen Monatsende.</x:v>
      </x:c>
    </x:row>
    <x:row r="11" ht="50" customHeight="1">
      <x:c r="A11" s="14" t="str">
        <x:v>6. Aussagegrenze</x:v>
      </x:c>
      <x:c r="B11" s="14" t="str">
        <x:v>Eine Bankbelastung zeigt den Geldabfluss. Ihr Verwendungszweck beweist nicht ohne Weiteres die tatsächliche Gegenleistung.</x:v>
      </x:c>
    </x:row>
    <x:row r="12" ht="50" customHeight="1">
      <x:c r="A12" s="14" t="str">
        <x:v>7. Eigene Konten</x:v>
      </x:c>
      <x:c r="B12" s="14" t="str">
        <x:v>Überträge zwischen eigenen Konten erscheinen auf beiden Konten. Die Summe der Gutschriften ist deshalb keine bereinigte Einnahmensumme.</x:v>
      </x:c>
    </x:row>
    <x:row r="13" ht="50" customHeight="1">
      <x:c r="A13" s="14" t="str">
        <x:v>8. Quellen</x:v>
      </x:c>
      <x:c r="B13" s="14" t="str">
        <x:v>Die Kontoauszugs-Spalte benennt die zugehörige Unterlage. Beleg-IDs sind Verknüpfungshinweise, keine rechtliche Bewertung.</x:v>
      </x:c>
    </x:row>
    <x:row r="14" ht="22" customHeight="1">
      <x:c r="A14" s="2"/>
      <x:c r="B14" s="2"/>
    </x:row>
    <x:row r="15" ht="22" customHeight="1">
      <x:c r="A15" s="2"/>
      <x:c r="B15" s="2"/>
    </x:row>
    <x:row r="16" ht="22" customHeight="1">
      <x:c r="A16" s="2"/>
      <x:c r="B16" s="2"/>
    </x:row>
    <x:row r="17" ht="22" customHeight="1">
      <x:c r="A17" s="2"/>
      <x:c r="B17" s="2"/>
    </x:row>
    <x:row r="18" ht="22" customHeight="1">
      <x:c r="A18" s="2"/>
      <x:c r="B18" s="2"/>
    </x:row>
    <x:row r="19" ht="22" customHeight="1">
      <x:c r="A19" s="2"/>
      <x:c r="B19" s="2"/>
    </x:row>
    <x:row r="20" ht="22" customHeight="1">
      <x:c r="A20" s="2"/>
      <x:c r="B20" s="2"/>
    </x:row>
    <x:row r="21" ht="22" customHeight="1">
      <x:c r="A21" s="2"/>
      <x:c r="B21" s="2"/>
    </x:row>
    <x:row r="22" ht="22" customHeight="1">
      <x:c r="A22" s="2"/>
      <x:c r="B22" s="2"/>
    </x:row>
    <x:row r="23" ht="22" customHeight="1">
      <x:c r="A23" s="2"/>
      <x:c r="B23" s="2"/>
    </x:row>
    <x:row r="24" ht="22" customHeight="1">
      <x:c r="A24" s="2"/>
      <x:c r="B24" s="2"/>
    </x:row>
    <x:row r="25" ht="22" customHeight="1">
      <x:c r="A25" s="2"/>
      <x:c r="B25" s="2"/>
    </x:row>
    <x:row r="26" ht="22" customHeight="1">
      <x:c r="A26" s="2"/>
      <x:c r="B26" s="2"/>
    </x:row>
  </x:sheetData>
  <x:pageMargins left="0.7" right="0.7" top="0.75" bottom="0.75" header="0.3" footer="0.3"/>
</x:worksheet>
</file>