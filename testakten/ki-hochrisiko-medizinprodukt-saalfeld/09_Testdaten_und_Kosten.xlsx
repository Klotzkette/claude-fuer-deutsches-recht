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00d3eee2c48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daten" sheetId="1" r:id="Rd79b427a7b30434b"/>
    <x:sheet xmlns:r="http://schemas.openxmlformats.org/officeDocument/2006/relationships" name="Angebot" sheetId="2" r:id="R4e307ae8484e4c6d"/>
  </x:sheets>
  <x:definedNames>
    <x:definedName name="_xlnm.Print_Area" localSheetId="0">'Testdaten'!$A$1:$E$17</x:definedName>
    <x:definedName name="_xlnm.Print_Area" localSheetId="1">'Angebot'!$A$1:$E$17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%"/>
    <x:numFmt numFmtId="202" formatCode="#,##0.00"/>
  </x:numFmts>
  <x:fonts count="8">
    <x:font>
      <x:sz val="11"/>
      <x:name val="Carlito"/>
    </x:font>
    <x:font>
      <x:sz val="11"/>
      <x:color rgb="FF172331"/>
      <x:name val="Arial"/>
    </x:font>
    <x:font>
      <x:b/>
      <x:sz val="15"/>
      <x:color rgb="FF172331"/>
      <x:name val="Arial"/>
    </x:font>
    <x:font>
      <x:sz val="10"/>
      <x:color rgb="FF506174"/>
      <x:name val="Arial"/>
    </x:font>
    <x:font>
      <x:b/>
      <x:sz val="11"/>
      <x:color rgb="FFFFFFFF"/>
      <x:name val="Arial"/>
    </x:font>
    <x:font>
      <x:sz val="11"/>
      <x:color rgb="FF1D4ED8"/>
      <x:name val="Arial"/>
    </x:font>
    <x:font>
      <x:sz val="10"/>
      <x:color rgb="FF44515C"/>
      <x:name val="Arial"/>
    </x:font>
    <x:font>
      <x:b/>
      <x:sz val="11"/>
      <x:color rgb="FF17233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F6B"/>
      </x:patternFill>
    </x:fill>
    <x:fill>
      <x:patternFill patternType="solid">
        <x:fgColor rgb="FFEAF0F4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7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71f53b84604163" /><Relationship Type="http://schemas.openxmlformats.org/officeDocument/2006/relationships/theme" Target="/xl/theme/theme1.xml" Id="Rb0d212116d3b42c8" /><Relationship Type="http://schemas.openxmlformats.org/officeDocument/2006/relationships/sharedStrings" Target="/xl/sharedStrings.xml" Id="R30ea580596c24cb7" /><Relationship Type="http://schemas.openxmlformats.org/officeDocument/2006/relationships/worksheet" Target="/xl/worksheets/sheet1.xml" Id="Rd79b427a7b30434b" /><Relationship Type="http://schemas.openxmlformats.org/officeDocument/2006/relationships/worksheet" Target="/xl/worksheets/sheet2.xml" Id="R4e307ae8484e4c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19" hidden="0" customWidth="1"/>
    <x:col min="3" max="3" width="20" hidden="0" customWidth="1"/>
    <x:col min="4" max="4" width="20" hidden="0" customWidth="1"/>
    <x:col min="5" max="5" width="22" hidden="0" customWidth="1"/>
  </x:cols>
  <x:sheetData>
    <x:row r="1" ht="34" customHeight="1">
      <x:c r="A1" s="3" t="str">
        <x:v>Bildspur synthetischer Labortest</x:v>
      </x:c>
      <x:c r="B1" s="2"/>
      <x:c r="C1" s="2"/>
      <x:c r="D1" s="2"/>
      <x:c r="E1" s="2"/>
    </x:row>
    <x:row r="2" ht="25" customHeight="1">
      <x:c r="A2" s="4" t="str">
        <x:v>Stand 09.10.2026. Blau: veränderbare Eingaben. Schwarz: Formeln.</x:v>
      </x:c>
      <x:c r="B2" s="2"/>
      <x:c r="C2" s="2"/>
      <x:c r="D2" s="2"/>
      <x:c r="E2" s="2"/>
    </x:row>
    <x:row r="3" ht="21" customHeight="1">
      <x:c r="A3" s="2"/>
      <x:c r="B3" s="2"/>
      <x:c r="C3" s="2"/>
      <x:c r="D3" s="2"/>
      <x:c r="E3" s="2"/>
    </x:row>
    <x:row r="4" ht="21" customHeight="1">
      <x:c r="A4" s="2"/>
      <x:c r="B4" s="2"/>
      <x:c r="C4" s="2"/>
      <x:c r="D4" s="2"/>
      <x:c r="E4" s="2"/>
    </x:row>
    <x:row r="5" ht="32" customHeight="1">
      <x:c r="A5" s="7" t="str">
        <x:v>Referenzgruppe</x:v>
      </x:c>
      <x:c r="B5" s="7" t="str">
        <x:v>Serien</x:v>
      </x:c>
      <x:c r="C5" s="7" t="str">
        <x:v>Marker gesetzt</x:v>
      </x:c>
      <x:c r="D5" s="7" t="str">
        <x:v>Ohne Marker</x:v>
      </x:c>
      <x:c r="E5" s="7" t="str">
        <x:v>Markeranteil</x:v>
      </x:c>
    </x:row>
    <x:row r="6" ht="38" customHeight="1">
      <x:c r="A6" s="13" t="str">
        <x:v>Referenz auffällig</x:v>
      </x:c>
      <x:c r="B6" s="14" t="n">
        <x:v>4</x:v>
      </x:c>
      <x:c r="C6" s="14" t="n">
        <x:v>3</x:v>
      </x:c>
      <x:c r="D6" s="14" t="n">
        <x:v>1</x:v>
      </x:c>
      <x:c r="E6" s="15" t="n">
        <x:f>IF(B6=0,0,C6/B6)</x:f>
        <x:v>0.75</x:v>
      </x:c>
    </x:row>
    <x:row r="7" ht="38" customHeight="1">
      <x:c r="A7" s="13" t="str">
        <x:v>Referenz unauffällig</x:v>
      </x:c>
      <x:c r="B7" s="14" t="n">
        <x:v>36</x:v>
      </x:c>
      <x:c r="C7" s="14" t="n">
        <x:v>3</x:v>
      </x:c>
      <x:c r="D7" s="14" t="n">
        <x:v>33</x:v>
      </x:c>
      <x:c r="E7" s="15" t="n">
        <x:f>IF(B7=0,0,C7/B7)</x:f>
        <x:v>0.08333333333333333</x:v>
      </x:c>
    </x:row>
    <x:row r="8" ht="21" customHeight="1">
      <x:c r="A8" s="2"/>
      <x:c r="B8" s="2"/>
      <x:c r="C8" s="2"/>
      <x:c r="D8" s="2"/>
      <x:c r="E8" s="2"/>
    </x:row>
    <x:row r="9" ht="31" customHeight="1">
      <x:c r="A9" s="17" t="str">
        <x:v>Die Quotienten sind Testzählwerte. Sie belegen keine klinische Eignung für den Patienteneinsatz.</x:v>
      </x:c>
      <x:c r="B9" s="2"/>
      <x:c r="C9" s="2"/>
      <x:c r="D9" s="2"/>
      <x:c r="E9" s="2"/>
    </x:row>
    <x:row r="10" ht="21" customHeight="1">
      <x:c r="A10" s="2"/>
      <x:c r="B10" s="2"/>
      <x:c r="C10" s="2"/>
      <x:c r="D10" s="2"/>
      <x:c r="E10" s="2"/>
    </x:row>
    <x:row r="11" ht="31" customHeight="1">
      <x:c r="A11" s="17" t="str">
        <x:v>B6:B7: Anzahl synthetischer Serien nach vorab festgelegtem Referenzbefund.</x:v>
      </x:c>
      <x:c r="B11" s="2"/>
      <x:c r="C11" s="2"/>
      <x:c r="D11" s="2"/>
      <x:c r="E11" s="2"/>
    </x:row>
    <x:row r="12" ht="31" customHeight="1">
      <x:c r="A12" s="17" t="str">
        <x:v>C6: richtig markiert; D6: übersehen. C7: zusätzlich markiert; D7: ohne Marker.</x:v>
      </x:c>
      <x:c r="B12" s="2"/>
      <x:c r="C12" s="2"/>
      <x:c r="D12" s="2"/>
      <x:c r="E12" s="2"/>
    </x:row>
    <x:row r="13" ht="31" customHeight="1">
      <x:c r="A13" s="17" t="str">
        <x:v>40 Serien, davon 4 Referenzauffälligkeiten; keine repräsentative klinische Validierung.</x:v>
      </x:c>
      <x:c r="B13" s="2"/>
      <x:c r="C13" s="2"/>
      <x:c r="D13" s="2"/>
      <x:c r="E13" s="2"/>
    </x:row>
    <x:row r="14" ht="31" customHeight="1">
      <x:c r="A14" s="17" t="str">
        <x:v>Quelle: 03_Technischer_Fehlertest.pdf, 06_Testlabor_Chat.txt, 07_Klinische_Besprechung.docx.</x:v>
      </x:c>
      <x:c r="B14" s="2"/>
      <x:c r="C14" s="2"/>
      <x:c r="D14" s="2"/>
      <x:c r="E14" s="2"/>
    </x:row>
    <x:row r="15" ht="21" customHeight="1">
      <x:c r="A15" s="2"/>
      <x:c r="B15" s="2"/>
      <x:c r="C15" s="2"/>
      <x:c r="D15" s="2"/>
      <x:c r="E15" s="2"/>
    </x:row>
    <x:row r="16" ht="31" customHeight="1">
      <x:c r="A16" s="17" t="str">
        <x:v>Ein Wert von 0 bei leerer Testgruppe ist eine Rechenkonvention; die Gruppe ist dann nicht geprüft.</x:v>
      </x:c>
      <x:c r="B16" s="2"/>
      <x:c r="C16" s="2"/>
      <x:c r="D16" s="2"/>
      <x:c r="E16" s="2"/>
    </x:row>
    <x:row r="17" ht="31" customHeight="1">
      <x:c r="A17" s="17" t="str">
        <x:v>Die Tabelle entscheidet weder Hochrisikoeinstufung noch Ausnahme oder Produktfreigabe.</x:v>
      </x:c>
      <x:c r="B17" s="2"/>
      <x:c r="C17" s="2"/>
      <x:c r="D17" s="2"/>
      <x:c r="E17" s="2"/>
    </x:row>
    <x:row r="18" ht="21" customHeight="1">
      <x:c r="A18" s="2"/>
      <x:c r="B18" s="2"/>
      <x:c r="C18" s="2"/>
      <x:c r="D18" s="2"/>
      <x:c r="E18" s="2"/>
    </x:row>
    <x:row r="19" ht="21" customHeight="1">
      <x:c r="A19" s="2"/>
      <x:c r="B19" s="2"/>
      <x:c r="C19" s="2"/>
      <x:c r="D19" s="2"/>
      <x:c r="E19" s="2"/>
    </x:row>
    <x:row r="20" ht="21" customHeight="1">
      <x:c r="A20" s="2"/>
      <x:c r="B20" s="2"/>
      <x:c r="C20" s="2"/>
      <x:c r="D20" s="2"/>
      <x:c r="E20" s="2"/>
    </x:row>
    <x:row r="21" ht="21" customHeight="1">
      <x:c r="A21" s="2"/>
      <x:c r="B21" s="2"/>
      <x:c r="C21" s="2"/>
      <x:c r="D21" s="2"/>
      <x:c r="E21" s="2"/>
    </x:row>
  </x:sheetData>
  <x:mergeCells>
    <x:mergeCell ref="A1:E1"/>
    <x:mergeCell ref="A2:E2"/>
    <x:mergeCell ref="A9:E9"/>
    <x:mergeCell ref="A11:E11"/>
    <x:mergeCell ref="A12:E12"/>
    <x:mergeCell ref="A13:E13"/>
    <x:mergeCell ref="A14:E14"/>
    <x:mergeCell ref="A16:E16"/>
    <x:mergeCell ref="A17:E17"/>
  </x:mergeCells>
  <x:pageMargins left="0.3" right="0.3" top="0.35" bottom="0.35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19" hidden="0" customWidth="1"/>
    <x:col min="3" max="3" width="20" hidden="0" customWidth="1"/>
    <x:col min="4" max="4" width="20" hidden="0" customWidth="1"/>
    <x:col min="5" max="5" width="22" hidden="0" customWidth="1"/>
  </x:cols>
  <x:sheetData>
    <x:row r="1" ht="34" customHeight="1">
      <x:c r="A1" s="3" t="str">
        <x:v>Bildspur Angebot für vier Monate</x:v>
      </x:c>
      <x:c r="B1" s="2"/>
      <x:c r="C1" s="2"/>
      <x:c r="D1" s="2"/>
      <x:c r="E1" s="2"/>
    </x:row>
    <x:row r="2" ht="25" customHeight="1">
      <x:c r="A2" s="4" t="str">
        <x:v>Stand 09.10.2026. Blau: veränderbare Eingaben. Schwarz: Formeln.</x:v>
      </x:c>
      <x:c r="B2" s="2"/>
      <x:c r="C2" s="2"/>
      <x:c r="D2" s="2"/>
      <x:c r="E2" s="2"/>
    </x:row>
    <x:row r="3" ht="21" customHeight="1">
      <x:c r="A3" s="2"/>
      <x:c r="B3" s="2"/>
      <x:c r="C3" s="2"/>
      <x:c r="D3" s="2"/>
      <x:c r="E3" s="2"/>
    </x:row>
    <x:row r="4" ht="21" customHeight="1">
      <x:c r="A4" s="2"/>
      <x:c r="B4" s="2"/>
      <x:c r="C4" s="2"/>
      <x:c r="D4" s="2"/>
      <x:c r="E4" s="2"/>
    </x:row>
    <x:row r="5" ht="32" customHeight="1">
      <x:c r="A5" s="7" t="str">
        <x:v>Position</x:v>
      </x:c>
      <x:c r="B5" s="7" t="str">
        <x:v>Anzahl</x:v>
      </x:c>
      <x:c r="C5" s="7" t="str">
        <x:v>Einzelpreis netto EUR</x:v>
      </x:c>
      <x:c r="D5" s="7" t="str">
        <x:v>Perioden</x:v>
      </x:c>
      <x:c r="E5" s="7" t="str">
        <x:v>Gesamt netto EUR</x:v>
      </x:c>
    </x:row>
    <x:row r="6" ht="37" customHeight="1">
      <x:c r="A6" s="13" t="str">
        <x:v>Testzugänge je Monat</x:v>
      </x:c>
      <x:c r="B6" s="14" t="n">
        <x:v>6</x:v>
      </x:c>
      <x:c r="C6" s="22" t="n">
        <x:v>240</x:v>
      </x:c>
      <x:c r="D6" s="14" t="n">
        <x:v>4</x:v>
      </x:c>
      <x:c r="E6" s="23" t="n">
        <x:f>ROUND(B6*C6*D6,2)</x:f>
        <x:v>5760</x:v>
      </x:c>
    </x:row>
    <x:row r="7" ht="37" customHeight="1">
      <x:c r="A7" s="13" t="str">
        <x:v>Netzeinbindung</x:v>
      </x:c>
      <x:c r="B7" s="14" t="n">
        <x:v>1</x:v>
      </x:c>
      <x:c r="C7" s="22" t="n">
        <x:v>2400</x:v>
      </x:c>
      <x:c r="D7" s="14" t="n">
        <x:v>1</x:v>
      </x:c>
      <x:c r="E7" s="23" t="n">
        <x:f>ROUND(B7*C7*D7,2)</x:f>
        <x:v>2400</x:v>
      </x:c>
    </x:row>
    <x:row r="8" ht="37" customHeight="1">
      <x:c r="A8" s="13" t="str">
        <x:v>Schulungstermine</x:v>
      </x:c>
      <x:c r="B8" s="14" t="n">
        <x:v>2</x:v>
      </x:c>
      <x:c r="C8" s="22" t="n">
        <x:v>750</x:v>
      </x:c>
      <x:c r="D8" s="14" t="n">
        <x:v>1</x:v>
      </x:c>
      <x:c r="E8" s="23" t="n">
        <x:f>ROUND(B8*C8*D8,2)</x:f>
        <x:v>1500</x:v>
      </x:c>
    </x:row>
    <x:row r="9" ht="21" customHeight="1">
      <x:c r="A9" s="2"/>
      <x:c r="B9" s="2"/>
      <x:c r="C9" s="2"/>
      <x:c r="D9" s="2"/>
      <x:c r="E9" s="24"/>
    </x:row>
    <x:row r="10" ht="21" customHeight="1">
      <x:c r="A10" s="2" t="str">
        <x:v>Netto gesamt</x:v>
      </x:c>
      <x:c r="B10" s="2"/>
      <x:c r="C10" s="2"/>
      <x:c r="D10" s="2"/>
      <x:c r="E10" s="24" t="n">
        <x:f>SUM(E6:E8)</x:f>
        <x:v>9660</x:v>
      </x:c>
    </x:row>
    <x:row r="11" ht="21" customHeight="1">
      <x:c r="A11" s="2" t="str">
        <x:v>Umsatzsteuer</x:v>
      </x:c>
      <x:c r="B11" s="2"/>
      <x:c r="C11" s="19" t="n">
        <x:v>0.19</x:v>
      </x:c>
      <x:c r="D11" s="2"/>
      <x:c r="E11" s="24" t="n">
        <x:f>ROUND(E10*C11,2)</x:f>
        <x:v>1835.4</x:v>
      </x:c>
    </x:row>
    <x:row r="12" ht="28" customHeight="1">
      <x:c r="A12" s="21" t="str">
        <x:v>Brutto gesamt</x:v>
      </x:c>
      <x:c r="B12" s="21"/>
      <x:c r="C12" s="21"/>
      <x:c r="D12" s="21"/>
      <x:c r="E12" s="25" t="n">
        <x:f>E10+E11</x:f>
        <x:v>11495.4</x:v>
      </x:c>
    </x:row>
    <x:row r="13" ht="21" customHeight="1">
      <x:c r="A13" s="2"/>
      <x:c r="B13" s="2"/>
      <x:c r="C13" s="2"/>
      <x:c r="D13" s="2"/>
      <x:c r="E13" s="2"/>
    </x:row>
    <x:row r="14" ht="31" customHeight="1">
      <x:c r="A14" s="17" t="str">
        <x:v>Kostenquelle: 11_Kostenangebot.pdf. Keine Bestellung, keine fällige Rechnung.</x:v>
      </x:c>
      <x:c r="B14" s="2"/>
      <x:c r="C14" s="2"/>
      <x:c r="D14" s="2"/>
      <x:c r="E14" s="2"/>
    </x:row>
    <x:row r="15" ht="31" customHeight="1">
      <x:c r="A15" s="17" t="str">
        <x:v>Monatliche Position: Anzahl mal Monatspreis mal Monate. Einmalige Positionen haben eine Periode.</x:v>
      </x:c>
      <x:c r="B15" s="2"/>
      <x:c r="C15" s="2"/>
      <x:c r="D15" s="2"/>
      <x:c r="E15" s="2"/>
    </x:row>
    <x:row r="16" ht="31" customHeight="1">
      <x:c r="A16" s="17" t="str">
        <x:v>Die Preise sind Angebotsdaten; eine Änderung der Eingaben ist nur eine eigene Rechenvariante.</x:v>
      </x:c>
      <x:c r="B16" s="2"/>
      <x:c r="C16" s="2"/>
      <x:c r="D16" s="2"/>
      <x:c r="E16" s="2"/>
    </x:row>
    <x:row r="17" ht="31" customHeight="1">
      <x:c r="A17" s="17" t="str">
        <x:v>Gesetzliche Anwendungsfristen, medizinische Validierung und Konformitätsbewertung werden nicht berechnet.</x:v>
      </x:c>
      <x:c r="B17" s="2"/>
      <x:c r="C17" s="2"/>
      <x:c r="D17" s="2"/>
      <x:c r="E17" s="2"/>
    </x:row>
    <x:row r="18" ht="21" customHeight="1">
      <x:c r="A18" s="2"/>
      <x:c r="B18" s="2"/>
      <x:c r="C18" s="2"/>
      <x:c r="D18" s="2"/>
      <x:c r="E18" s="2"/>
    </x:row>
    <x:row r="19" ht="21" customHeight="1">
      <x:c r="A19" s="2"/>
      <x:c r="B19" s="2"/>
      <x:c r="C19" s="2"/>
      <x:c r="D19" s="2"/>
      <x:c r="E19" s="2"/>
    </x:row>
    <x:row r="20" ht="21" customHeight="1">
      <x:c r="A20" s="2"/>
      <x:c r="B20" s="2"/>
      <x:c r="C20" s="2"/>
      <x:c r="D20" s="2"/>
      <x:c r="E20" s="2"/>
    </x:row>
    <x:row r="21" ht="21" customHeight="1">
      <x:c r="A21" s="2"/>
      <x:c r="B21" s="2"/>
      <x:c r="C21" s="2"/>
      <x:c r="D21" s="2"/>
      <x:c r="E21" s="2"/>
    </x:row>
  </x:sheetData>
  <x:mergeCells>
    <x:mergeCell ref="A1:E1"/>
    <x:mergeCell ref="A2:E2"/>
    <x:mergeCell ref="A14:E14"/>
    <x:mergeCell ref="A15:E15"/>
    <x:mergeCell ref="A16:E16"/>
    <x:mergeCell ref="A17:E17"/>
  </x:mergeCells>
  <x:pageMargins left="0.3" right="0.3" top="0.35" bottom="0.35" header="0.15" footer="0.15"/>
  <x:pageSetup paperSize="9" orientation="landscape" fitToWidth="1" fitToHeight="0"/>
</x:worksheet>
</file>