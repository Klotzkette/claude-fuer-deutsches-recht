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" sheetId="1" state="visible" r:id="rId1"/>
    <sheet xmlns:r="http://schemas.openxmlformats.org/officeDocument/2006/relationships" name="Einnahmen" sheetId="2" state="visible" r:id="rId2"/>
    <sheet xmlns:r="http://schemas.openxmlformats.org/officeDocument/2006/relationships" name="Ausgaben" sheetId="3" state="visible" r:id="rId3"/>
    <sheet xmlns:r="http://schemas.openxmlformats.org/officeDocument/2006/relationships" name="Schlussverzeichnis" sheetId="4" state="visible" r:id="rId4"/>
    <sheet xmlns:r="http://schemas.openxmlformats.org/officeDocument/2006/relationships" name="Freigaben" sheetId="5" state="visible" r:id="rId5"/>
    <sheet xmlns:r="http://schemas.openxmlformats.org/officeDocument/2006/relationships" name="Absonderung" sheetId="6" state="visible" r:id="rId6"/>
    <sheet xmlns:r="http://schemas.openxmlformats.org/officeDocument/2006/relationships" name="Nachtrag" sheetId="7" state="visible" r:id="rId7"/>
  </sheets>
  <definedNames>
    <definedName name="_xlnm._FilterDatabase" localSheetId="0" hidden="1">'Cockpit'!$A$1:$B$10</definedName>
    <definedName name="_xlnm.Print_Titles" localSheetId="0">'Cockpit'!$1:$1</definedName>
    <definedName name="_xlnm._FilterDatabase" localSheetId="1" hidden="1">'Einnahmen'!$A$1:$D$4</definedName>
    <definedName name="_xlnm.Print_Titles" localSheetId="1">'Einnahmen'!$1:$1</definedName>
    <definedName name="_xlnm._FilterDatabase" localSheetId="2" hidden="1">'Ausgaben'!$A$1:$D$4</definedName>
    <definedName name="_xlnm.Print_Titles" localSheetId="2">'Ausgaben'!$1:$1</definedName>
    <definedName name="_xlnm._FilterDatabase" localSheetId="3" hidden="1">'Schlussverzeichnis'!$A$1:$E$12</definedName>
    <definedName name="_xlnm.Print_Titles" localSheetId="3">'Schlussverzeichnis'!$1:$1</definedName>
    <definedName name="_xlnm._FilterDatabase" localSheetId="4" hidden="1">'Freigaben'!$A$1:$E$6</definedName>
    <definedName name="_xlnm.Print_Titles" localSheetId="4">'Freigaben'!$1:$1</definedName>
    <definedName name="_xlnm._FilterDatabase" localSheetId="5" hidden="1">'Absonderung'!$A$1:$D$2</definedName>
    <definedName name="_xlnm.Print_Titles" localSheetId="5">'Absonderung'!$1:$1</definedName>
    <definedName name="_xlnm._FilterDatabase" localSheetId="6" hidden="1">'Nachtrag'!$A$1:$D$2</definedName>
    <definedName name="_xlnm.Print_Titles" localSheetId="6">'Nachtrag'!$1:$1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[$EUR-407]"/>
    <numFmt numFmtId="165" formatCode="0.000000%"/>
  </numFmts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</cols>
  <sheetData>
    <row r="1">
      <c r="A1" s="1" t="inlineStr">
        <is>
          <t>Abschlusskontrolle</t>
        </is>
      </c>
      <c r="B1" s="1" t="inlineStr">
        <is>
          <t>Möbelwerk Havelberg GmbH</t>
        </is>
      </c>
    </row>
    <row r="2">
      <c r="A2" s="2" t="inlineStr">
        <is>
          <t>Stichtag</t>
        </is>
      </c>
      <c r="B2" s="2" t="inlineStr">
        <is>
          <t>20.01.2027</t>
        </is>
      </c>
    </row>
    <row r="3">
      <c r="A3" s="2" t="inlineStr">
        <is>
          <t>Teilungsmasse</t>
        </is>
      </c>
      <c r="B3" s="3" t="n">
        <v>289790</v>
      </c>
    </row>
    <row r="4">
      <c r="A4" s="2" t="inlineStr">
        <is>
          <t>Forderungsbasis</t>
        </is>
      </c>
      <c r="B4" s="3" t="n">
        <v>862900</v>
      </c>
    </row>
    <row r="5">
      <c r="A5" s="2" t="inlineStr">
        <is>
          <t>Quote</t>
        </is>
      </c>
      <c r="B5" s="4">
        <f>B3/B4</f>
        <v/>
      </c>
    </row>
    <row r="6">
      <c r="A6" s="2" t="inlineStr">
        <is>
          <t>Auszahlung laut Verzeichnis</t>
        </is>
      </c>
      <c r="B6" s="3">
        <f>SUM(Schlussverzeichnis!D2:D11)</f>
        <v/>
      </c>
    </row>
    <row r="7">
      <c r="A7" s="2" t="inlineStr">
        <is>
          <t>Differenz Teilungsmasse</t>
        </is>
      </c>
      <c r="B7" s="3">
        <f>B3-B6</f>
        <v/>
      </c>
    </row>
    <row r="8">
      <c r="A8" s="2" t="inlineStr">
        <is>
          <t>Kontrollstatus</t>
        </is>
      </c>
      <c r="B8" s="3">
        <f>IF(ABS(B7)&lt;0.005,"OK","SPERRE")</f>
        <v/>
      </c>
    </row>
    <row r="9">
      <c r="A9" s="2" t="n"/>
      <c r="B9" s="2" t="n"/>
    </row>
    <row r="10">
      <c r="A10" s="2" t="inlineStr">
        <is>
          <t>Freigaberegel</t>
        </is>
      </c>
      <c r="B10" s="2" t="inlineStr">
        <is>
          <t>Einreichung, Veröffentlichung und Auszahlung benötigen getrennte menschliche Freigaben.</t>
        </is>
      </c>
    </row>
  </sheetData>
  <autoFilter ref="A1:B10"/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3" customWidth="1" min="3" max="3"/>
    <col width="24" customWidth="1" min="4" max="4"/>
  </cols>
  <sheetData>
    <row r="1">
      <c r="A1" s="1" t="inlineStr">
        <is>
          <t>Position</t>
        </is>
      </c>
      <c r="B1" s="1" t="inlineStr">
        <is>
          <t>Betrag EUR</t>
        </is>
      </c>
      <c r="C1" s="1" t="inlineStr">
        <is>
          <t>Belegstatus</t>
        </is>
      </c>
      <c r="D1" s="1" t="inlineStr">
        <is>
          <t>Prüfvermerk</t>
        </is>
      </c>
    </row>
    <row r="2">
      <c r="A2" s="2" t="inlineStr">
        <is>
          <t>Freie Massezuflüsse</t>
        </is>
      </c>
      <c r="B2" s="3" t="n">
        <v>777830</v>
      </c>
      <c r="C2" s="2" t="inlineStr">
        <is>
          <t>belegt</t>
        </is>
      </c>
      <c r="D2" s="2" t="inlineStr">
        <is>
          <t>mit Journal abgestimmt</t>
        </is>
      </c>
    </row>
    <row r="3">
      <c r="A3" s="2" t="inlineStr">
        <is>
          <t>Sicherheitenzuflüsse Havelbank</t>
        </is>
      </c>
      <c r="B3" s="3" t="n">
        <v>343500</v>
      </c>
      <c r="C3" s="2" t="inlineStr">
        <is>
          <t>belegt</t>
        </is>
      </c>
      <c r="D3" s="2" t="inlineStr">
        <is>
          <t>mit Journal abgestimmt</t>
        </is>
      </c>
    </row>
    <row r="4">
      <c r="A4" s="2" t="inlineStr">
        <is>
          <t>Summe</t>
        </is>
      </c>
      <c r="B4" s="3">
        <f>SUM(B2:B3)</f>
        <v/>
      </c>
      <c r="C4" s="2" t="inlineStr"/>
      <c r="D4" s="2" t="inlineStr"/>
    </row>
  </sheetData>
  <autoFilter ref="A1:D4"/>
  <pageMargins left="0.75" right="0.75" top="1" bottom="1" header="0.5" footer="0.5"/>
  <pageSetup orientation="portrait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3" customWidth="1" min="3" max="3"/>
    <col width="24" customWidth="1" min="4" max="4"/>
  </cols>
  <sheetData>
    <row r="1">
      <c r="A1" s="1" t="inlineStr">
        <is>
          <t>Position</t>
        </is>
      </c>
      <c r="B1" s="1" t="inlineStr">
        <is>
          <t>Betrag EUR</t>
        </is>
      </c>
      <c r="C1" s="1" t="inlineStr">
        <is>
          <t>Belegstatus</t>
        </is>
      </c>
      <c r="D1" s="1" t="inlineStr">
        <is>
          <t>Prüfvermerk</t>
        </is>
      </c>
    </row>
    <row r="2">
      <c r="A2" s="2" t="inlineStr">
        <is>
          <t>Freie Masseausgaben</t>
        </is>
      </c>
      <c r="B2" s="3" t="n">
        <v>488040</v>
      </c>
      <c r="C2" s="2" t="inlineStr">
        <is>
          <t>belegt</t>
        </is>
      </c>
      <c r="D2" s="2" t="inlineStr">
        <is>
          <t>mit Journal abgestimmt</t>
        </is>
      </c>
    </row>
    <row r="3">
      <c r="A3" s="2" t="inlineStr">
        <is>
          <t>Auskehrung Sicherheiten Havelbank</t>
        </is>
      </c>
      <c r="B3" s="3" t="n">
        <v>343500</v>
      </c>
      <c r="C3" s="2" t="inlineStr">
        <is>
          <t>belegt</t>
        </is>
      </c>
      <c r="D3" s="2" t="inlineStr">
        <is>
          <t>mit Journal abgestimmt</t>
        </is>
      </c>
    </row>
    <row r="4">
      <c r="A4" s="2" t="inlineStr">
        <is>
          <t>Summe</t>
        </is>
      </c>
      <c r="B4" s="3">
        <f>SUM(B2:B3)</f>
        <v/>
      </c>
      <c r="C4" s="2" t="inlineStr"/>
      <c r="D4" s="2" t="inlineStr"/>
    </row>
  </sheetData>
  <autoFilter ref="A1:D4"/>
  <pageMargins left="0.75" right="0.75" top="1" bottom="1" header="0.5" footer="0.5"/>
  <pageSetup orientation="portrait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3" customWidth="1" min="5" max="5"/>
  </cols>
  <sheetData>
    <row r="1">
      <c r="A1" s="1" t="inlineStr">
        <is>
          <t>Gläubiger</t>
        </is>
      </c>
      <c r="B1" s="1" t="inlineStr">
        <is>
          <t>Festgestellt EUR</t>
        </is>
      </c>
      <c r="C1" s="1" t="inlineStr">
        <is>
          <t>Quote</t>
        </is>
      </c>
      <c r="D1" s="1" t="inlineStr">
        <is>
          <t>Auszahlung EUR</t>
        </is>
      </c>
      <c r="E1" s="1" t="inlineStr">
        <is>
          <t>Status</t>
        </is>
      </c>
    </row>
    <row r="2">
      <c r="A2" s="2" t="inlineStr">
        <is>
          <t>Furnier Nord GmbH</t>
        </is>
      </c>
      <c r="B2" s="3" t="n">
        <v>186420</v>
      </c>
      <c r="C2" s="4">
        <f>Cockpit!$B$5</f>
        <v/>
      </c>
      <c r="D2" s="3" t="n">
        <v>62605.92</v>
      </c>
      <c r="E2" s="2" t="inlineStr">
        <is>
          <t>zahlbar nach Freigabe</t>
        </is>
      </c>
    </row>
    <row r="3">
      <c r="A3" s="2" t="inlineStr">
        <is>
          <t>Havelbank eG – Ausfall</t>
        </is>
      </c>
      <c r="B3" s="3" t="n">
        <v>136500</v>
      </c>
      <c r="C3" s="4">
        <f>Cockpit!$B$5</f>
        <v/>
      </c>
      <c r="D3" s="3" t="n">
        <v>45841.16</v>
      </c>
      <c r="E3" s="2" t="inlineStr">
        <is>
          <t>zahlbar nach Freigabe</t>
        </is>
      </c>
    </row>
    <row r="4">
      <c r="A4" s="2" t="inlineStr">
        <is>
          <t>Finanzamt Stendal</t>
        </is>
      </c>
      <c r="B4" s="3" t="n">
        <v>92340</v>
      </c>
      <c r="C4" s="4">
        <f>Cockpit!$B$5</f>
        <v/>
      </c>
      <c r="D4" s="3" t="n">
        <v>31010.79</v>
      </c>
      <c r="E4" s="2" t="inlineStr">
        <is>
          <t>zahlbar nach Freigabe</t>
        </is>
      </c>
    </row>
    <row r="5">
      <c r="A5" s="2" t="inlineStr">
        <is>
          <t>AOK Sachsen-Anhalt</t>
        </is>
      </c>
      <c r="B5" s="3" t="n">
        <v>61200</v>
      </c>
      <c r="C5" s="4">
        <f>Cockpit!$B$5</f>
        <v/>
      </c>
      <c r="D5" s="3" t="n">
        <v>20552.96</v>
      </c>
      <c r="E5" s="2" t="inlineStr">
        <is>
          <t>zahlbar nach Freigabe</t>
        </is>
      </c>
    </row>
    <row r="6">
      <c r="A6" s="2" t="inlineStr">
        <is>
          <t>Prignitz Forst KG</t>
        </is>
      </c>
      <c r="B6" s="3" t="n">
        <v>43700</v>
      </c>
      <c r="C6" s="4">
        <f>Cockpit!$B$5</f>
        <v/>
      </c>
      <c r="D6" s="3" t="n">
        <v>14675.89</v>
      </c>
      <c r="E6" s="2" t="inlineStr">
        <is>
          <t>zahlbar nach Freigabe</t>
        </is>
      </c>
    </row>
    <row r="7">
      <c r="A7" s="2" t="inlineStr">
        <is>
          <t>Holzbauer GmbH &amp; Co. KG</t>
        </is>
      </c>
      <c r="B7" s="3" t="n">
        <v>28100</v>
      </c>
      <c r="C7" s="4">
        <f>Cockpit!$B$5</f>
        <v/>
      </c>
      <c r="D7" s="3" t="n">
        <v>9436.9</v>
      </c>
      <c r="E7" s="2" t="inlineStr">
        <is>
          <t>zahlbar nach Freigabe</t>
        </is>
      </c>
    </row>
    <row r="8">
      <c r="A8" s="2" t="inlineStr">
        <is>
          <t>Beschlagwerk Elbe AG</t>
        </is>
      </c>
      <c r="B8" s="3" t="n">
        <v>19440</v>
      </c>
      <c r="C8" s="4">
        <f>Cockpit!$B$5</f>
        <v/>
      </c>
      <c r="D8" s="3" t="n">
        <v>6528.58</v>
      </c>
      <c r="E8" s="2" t="inlineStr">
        <is>
          <t>zahlbar nach Freigabe</t>
        </is>
      </c>
    </row>
    <row r="9">
      <c r="A9" s="2" t="inlineStr">
        <is>
          <t>Havelstrom GbR</t>
        </is>
      </c>
      <c r="B9" s="3" t="n">
        <v>48000</v>
      </c>
      <c r="C9" s="4">
        <f>Cockpit!$B$5</f>
        <v/>
      </c>
      <c r="D9" s="3" t="n">
        <v>16119.97</v>
      </c>
      <c r="E9" s="2" t="inlineStr">
        <is>
          <t>zahlbar nach Freigabe</t>
        </is>
      </c>
    </row>
    <row r="10">
      <c r="A10" s="2" t="inlineStr">
        <is>
          <t>Arbeitnehmerforderungen</t>
        </is>
      </c>
      <c r="B10" s="3" t="n">
        <v>236000</v>
      </c>
      <c r="C10" s="4">
        <f>Cockpit!$B$5</f>
        <v/>
      </c>
      <c r="D10" s="3" t="n">
        <v>79256.50999999999</v>
      </c>
      <c r="E10" s="2" t="inlineStr">
        <is>
          <t>zahlbar nach Freigabe</t>
        </is>
      </c>
    </row>
    <row r="11">
      <c r="A11" s="2" t="inlineStr">
        <is>
          <t>Würtl-Leasing GmbH</t>
        </is>
      </c>
      <c r="B11" s="3" t="n">
        <v>11200</v>
      </c>
      <c r="C11" s="4">
        <f>Cockpit!$B$5</f>
        <v/>
      </c>
      <c r="D11" s="3" t="n">
        <v>3761.32</v>
      </c>
      <c r="E11" s="2" t="inlineStr">
        <is>
          <t>zahlbar nach Freigabe</t>
        </is>
      </c>
    </row>
    <row r="12">
      <c r="A12" s="2" t="inlineStr">
        <is>
          <t>Summe</t>
        </is>
      </c>
      <c r="B12" s="3">
        <f>SUM(B2:B11)</f>
        <v/>
      </c>
      <c r="C12" s="2" t="inlineStr"/>
      <c r="D12" s="3">
        <f>SUM(D2:D11)</f>
        <v/>
      </c>
      <c r="E12" s="2" t="inlineStr">
        <is>
          <t>Kontrollsumme</t>
        </is>
      </c>
    </row>
  </sheetData>
  <autoFilter ref="A1:E12"/>
  <pageMargins left="0.75" right="0.75" top="1" bottom="1" header="0.5" footer="0.5"/>
  <pageSetup orientation="landscape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35" customWidth="1" min="3" max="3"/>
    <col width="20" customWidth="1" min="4" max="4"/>
    <col width="12" customWidth="1" min="5" max="5"/>
  </cols>
  <sheetData>
    <row r="1">
      <c r="A1" s="1" t="inlineStr">
        <is>
          <t>Gate</t>
        </is>
      </c>
      <c r="B1" s="1" t="inlineStr">
        <is>
          <t>Voraussetzung</t>
        </is>
      </c>
      <c r="C1" s="1" t="inlineStr">
        <is>
          <t>Status</t>
        </is>
      </c>
      <c r="D1" s="1" t="inlineStr">
        <is>
          <t>Freigebende Person</t>
        </is>
      </c>
      <c r="E1" s="1" t="inlineStr">
        <is>
          <t>Datum</t>
        </is>
      </c>
    </row>
    <row r="2">
      <c r="A2" s="2" t="inlineStr">
        <is>
          <t>Kontenabgleich</t>
        </is>
      </c>
      <c r="B2" s="2" t="inlineStr">
        <is>
          <t>Differenz 0,00 EUR</t>
        </is>
      </c>
      <c r="C2" s="2" t="inlineStr">
        <is>
          <t>bestanden</t>
        </is>
      </c>
      <c r="D2" s="2" t="inlineStr"/>
      <c r="E2" s="2" t="inlineStr"/>
    </row>
    <row r="3">
      <c r="A3" s="2" t="inlineStr">
        <is>
          <t>Tabellenabgleich</t>
        </is>
      </c>
      <c r="B3" s="2" t="inlineStr">
        <is>
          <t>Forderungsbasis bestätigt</t>
        </is>
      </c>
      <c r="C3" s="2" t="inlineStr">
        <is>
          <t>bestanden</t>
        </is>
      </c>
      <c r="D3" s="2" t="inlineStr"/>
      <c r="E3" s="2" t="inlineStr"/>
    </row>
    <row r="4">
      <c r="A4" s="2" t="inlineStr">
        <is>
          <t>Einreichung</t>
        </is>
      </c>
      <c r="B4" s="2" t="inlineStr">
        <is>
          <t>Führende Fassungen geprüft</t>
        </is>
      </c>
      <c r="C4" s="2" t="inlineStr">
        <is>
          <t>freigegeben</t>
        </is>
      </c>
      <c r="D4" s="2" t="inlineStr"/>
      <c r="E4" s="2" t="inlineStr"/>
    </row>
    <row r="5">
      <c r="A5" s="2" t="inlineStr">
        <is>
          <t>Auszahlung</t>
        </is>
      </c>
      <c r="B5" s="2" t="inlineStr">
        <is>
          <t>Gerichtliche Zustimmung und Empfängerkontrolle</t>
        </is>
      </c>
      <c r="C5" s="2" t="inlineStr">
        <is>
          <t>gesperrt bis gesonderter Freigabe</t>
        </is>
      </c>
      <c r="D5" s="2" t="inlineStr"/>
      <c r="E5" s="2" t="inlineStr"/>
    </row>
    <row r="6">
      <c r="A6" s="2" t="inlineStr">
        <is>
          <t>Schlussmitteilung</t>
        </is>
      </c>
      <c r="B6" s="2" t="inlineStr">
        <is>
          <t>Zahlung und Rückläuferkontrolle belegt</t>
        </is>
      </c>
      <c r="C6" s="2" t="inlineStr">
        <is>
          <t>gesperrt bis Vollzug</t>
        </is>
      </c>
      <c r="D6" s="2" t="inlineStr"/>
      <c r="E6" s="2" t="inlineStr"/>
    </row>
  </sheetData>
  <autoFilter ref="A1:E6"/>
  <pageMargins left="0.75" right="0.75" top="1" bottom="1" header="0.5" footer="0.5"/>
  <pageSetup orientation="landscape" paperSize="9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3" customWidth="1" min="3" max="3"/>
    <col width="22" customWidth="1" min="4" max="4"/>
  </cols>
  <sheetData>
    <row r="1">
      <c r="A1" s="1" t="inlineStr">
        <is>
          <t>Gläubiger</t>
        </is>
      </c>
      <c r="B1" s="1" t="inlineStr">
        <is>
          <t>Festgestellte Gesamtforderung</t>
        </is>
      </c>
      <c r="C1" s="1" t="inlineStr">
        <is>
          <t>Gesicherte Auszahlung</t>
        </is>
      </c>
      <c r="D1" s="1" t="inlineStr">
        <is>
          <t>Ausfall § 38</t>
        </is>
      </c>
    </row>
    <row r="2">
      <c r="A2" s="2" t="inlineStr">
        <is>
          <t>Havelbank eG</t>
        </is>
      </c>
      <c r="B2" s="3" t="n">
        <v>480000</v>
      </c>
      <c r="C2" s="3" t="n">
        <v>343500</v>
      </c>
      <c r="D2" s="3" t="n">
        <v>136500</v>
      </c>
    </row>
  </sheetData>
  <autoFilter ref="A1:D2"/>
  <pageMargins left="0.75" right="0.75" top="1" bottom="1" header="0.5" footer="0.5"/>
  <pageSetup orientation="portrait" paperSize="9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7" customWidth="1" min="4" max="4"/>
  </cols>
  <sheetData>
    <row r="1">
      <c r="A1" s="1" t="inlineStr">
        <is>
          <t>Prüffeld</t>
        </is>
      </c>
      <c r="B1" s="1" t="inlineStr">
        <is>
          <t>Status</t>
        </is>
      </c>
      <c r="C1" s="1" t="inlineStr">
        <is>
          <t>Betrag EUR</t>
        </is>
      </c>
      <c r="D1" s="1" t="inlineStr">
        <is>
          <t>Nächster Schritt</t>
        </is>
      </c>
    </row>
    <row r="2">
      <c r="A2" s="2" t="inlineStr">
        <is>
          <t>Versicherungsprämie</t>
        </is>
      </c>
      <c r="B2" s="2" t="inlineStr">
        <is>
          <t>nur Hinweis</t>
        </is>
      </c>
      <c r="C2" s="2" t="inlineStr"/>
      <c r="D2" s="2" t="inlineStr">
        <is>
          <t>Unterlagen anfordern; keine Buchung</t>
        </is>
      </c>
    </row>
  </sheetData>
  <autoFilter ref="A1:D2"/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2026-10-22T10:56:04Z</dcterms:created>
  <dcterms:modified xmlns:dcterms="http://purl.org/dc/terms/" xmlns:xsi="http://www.w3.org/2001/XMLSchema-instance" xsi:type="dcterms:W3CDTF">2026-10-22T10:56:04Z</dcterms:modified>
</cp:coreProperties>
</file>