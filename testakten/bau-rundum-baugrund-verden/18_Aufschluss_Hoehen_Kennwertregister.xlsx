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hichten" sheetId="1" state="visible" r:id="rId3"/>
    <sheet name="Höhenbuch" sheetId="2" state="visible" r:id="rId4"/>
    <sheet name="Kennwerte" sheetId="3" state="visible" r:id="rId5"/>
  </sheets>
  <definedNames>
    <definedName function="false" hidden="false" localSheetId="1" name="_xlnm.Print_Area" vbProcedure="false">Höhenbuch!$A$1:$I$31</definedName>
    <definedName function="false" hidden="false" localSheetId="1" name="_xlnm.Print_Titles" vbProcedure="false">Höhenbuch!$8:$8</definedName>
    <definedName function="false" hidden="false" localSheetId="2" name="_xlnm.Print_Area" vbProcedure="false">Kennwerte!$A$1:$G$46</definedName>
    <definedName function="false" hidden="false" localSheetId="2" name="_xlnm.Print_Titles" vbProcedure="false">Kennwerte!$8:$8</definedName>
    <definedName function="false" hidden="false" localSheetId="0" name="_xlnm.Print_Area" vbProcedure="false">Schichten!$A$1:$I$20</definedName>
    <definedName function="false" hidden="false" localSheetId="0" name="_xlnm.Print_Titles" vbProcedure="false">Schichten!$8:$8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<sst xmlns="http://schemas.openxmlformats.org/spreadsheetml/2006/main" count="356" uniqueCount="162">
  <si>
    <t xml:space="preserve">1 Aufschlussregister Weidenmaß</t>
  </si>
  <si>
    <t xml:space="preserve">Punktuelle Schichten nach 02_Baugrundbericht.pdf und 05_Feldblatt.pdf. KB1/KB2 fassen Oberboden und Auffüllung zusammen; Sand endet am Bohrende, nicht an nachgewiesener Schichtgrenze.</t>
  </si>
  <si>
    <t xml:space="preserve">Tabea Sommer, Stand 24.09.2026</t>
  </si>
  <si>
    <t xml:space="preserve">Positionen</t>
  </si>
  <si>
    <t xml:space="preserve">Mächtigkeit m</t>
  </si>
  <si>
    <t xml:space="preserve">Aufschluss</t>
  </si>
  <si>
    <t xml:space="preserve">Bohrdatum</t>
  </si>
  <si>
    <t xml:space="preserve">Ansatz m örtlich</t>
  </si>
  <si>
    <t xml:space="preserve">Von m u. Gelände</t>
  </si>
  <si>
    <t xml:space="preserve">Bis m u. Gelände</t>
  </si>
  <si>
    <t xml:space="preserve">Unterkante m örtlich</t>
  </si>
  <si>
    <t xml:space="preserve">Schicht</t>
  </si>
  <si>
    <t xml:space="preserve">Quelle</t>
  </si>
  <si>
    <t xml:space="preserve">KB1</t>
  </si>
  <si>
    <t xml:space="preserve">Oberboden und Auffüllung</t>
  </si>
  <si>
    <t xml:space="preserve">02_Baugrundbericht.pdf</t>
  </si>
  <si>
    <t xml:space="preserve">Sand bis Bohrende</t>
  </si>
  <si>
    <t xml:space="preserve">KB2</t>
  </si>
  <si>
    <t xml:space="preserve">KB3</t>
  </si>
  <si>
    <t xml:space="preserve">Oberboden</t>
  </si>
  <si>
    <t xml:space="preserve">05_Feldblatt.pdf</t>
  </si>
  <si>
    <t xml:space="preserve">Sandige Auffüllung</t>
  </si>
  <si>
    <t xml:space="preserve">Weicher Schluff</t>
  </si>
  <si>
    <t xml:space="preserve">Mitteldichter Sand bis Bohrende</t>
  </si>
  <si>
    <t xml:space="preserve">KB4</t>
  </si>
  <si>
    <t xml:space="preserve">03_Ergaenzung_01.pdf</t>
  </si>
  <si>
    <t xml:space="preserve">Auffüllung mit Ziegelstücken</t>
  </si>
  <si>
    <t xml:space="preserve">Weicher bis breiiger Schluff</t>
  </si>
  <si>
    <t xml:space="preserve">2 Höhen- und Wasserbuch</t>
  </si>
  <si>
    <t xml:space="preserve">Messungen, Bezugspunkte und Planungsansätze getrennt bezeichnet. Alle Höhen örtlich; Ablesung und Versatz gehen mit dem zum Vorgang gehörenden Vorzeichen ein.</t>
  </si>
  <si>
    <t xml:space="preserve">Datum</t>
  </si>
  <si>
    <t xml:space="preserve">Zeit</t>
  </si>
  <si>
    <t xml:space="preserve">Punkt / Vorgang</t>
  </si>
  <si>
    <t xml:space="preserve">Bezug</t>
  </si>
  <si>
    <t xml:space="preserve">Bezugshöhe m</t>
  </si>
  <si>
    <t xml:space="preserve">Ablesung / Versatz m</t>
  </si>
  <si>
    <t xml:space="preserve">Höhe m örtlich</t>
  </si>
  <si>
    <t xml:space="preserve">Art und Umfang</t>
  </si>
  <si>
    <t xml:space="preserve">KB1 Wasser</t>
  </si>
  <si>
    <t xml:space="preserve">Gelände</t>
  </si>
  <si>
    <t xml:space="preserve">Beobachtung nach 30 Minuten</t>
  </si>
  <si>
    <t xml:space="preserve">07_Wasserbeobachtungen.csv</t>
  </si>
  <si>
    <t xml:space="preserve">KB2 Wasser</t>
  </si>
  <si>
    <t xml:space="preserve">KB3 Wasser</t>
  </si>
  <si>
    <t xml:space="preserve">KB4 Wasser</t>
  </si>
  <si>
    <t xml:space="preserve">Beobachtung nach 45 Minuten</t>
  </si>
  <si>
    <t xml:space="preserve">Rohrkopf</t>
  </si>
  <si>
    <t xml:space="preserve">Folgeablesung</t>
  </si>
  <si>
    <t xml:space="preserve">Kerbe am Rohrkopf</t>
  </si>
  <si>
    <t xml:space="preserve">Einzelablesung, Deckel entfernt</t>
  </si>
  <si>
    <t xml:space="preserve">16_Wasser_Folgeablesungen.csv</t>
  </si>
  <si>
    <t xml:space="preserve">Nach Kontrollnivellement</t>
  </si>
  <si>
    <t xml:space="preserve">Hofmarke</t>
  </si>
  <si>
    <t xml:space="preserve">Örtlicher Projektfestpunkt</t>
  </si>
  <si>
    <t xml:space="preserve">Übernommener Projektwert</t>
  </si>
  <si>
    <t xml:space="preserve">12_Hoehen_Notiz.txt</t>
  </si>
  <si>
    <t xml:space="preserve">KB1 Ansatz</t>
  </si>
  <si>
    <t xml:space="preserve">Örtliches System</t>
  </si>
  <si>
    <t xml:space="preserve">Geländeansatz der Bohrung</t>
  </si>
  <si>
    <t xml:space="preserve">KB2 Ansatz</t>
  </si>
  <si>
    <t xml:space="preserve">KB3 Ansatz</t>
  </si>
  <si>
    <t xml:space="preserve">KB4 Ansatz</t>
  </si>
  <si>
    <t xml:space="preserve">Fertigfußboden</t>
  </si>
  <si>
    <t xml:space="preserve">WM-A-02</t>
  </si>
  <si>
    <t xml:space="preserve">Planungsmaß</t>
  </si>
  <si>
    <t xml:space="preserve">KB4 Rohrkopf</t>
  </si>
  <si>
    <t xml:space="preserve">Gelände KB4</t>
  </si>
  <si>
    <t xml:space="preserve">Versatz des Rohrkopfs nach oben</t>
  </si>
  <si>
    <t xml:space="preserve">Wasseransatz Bericht 01</t>
  </si>
  <si>
    <t xml:space="preserve">Frühere Planungsannahme</t>
  </si>
  <si>
    <t xml:space="preserve">Wasseransatz Ergänzung 01</t>
  </si>
  <si>
    <t xml:space="preserve">Fortgeschriebene Planungsannahme</t>
  </si>
  <si>
    <t xml:space="preserve">Fundamentunterkante</t>
  </si>
  <si>
    <t xml:space="preserve">WM-L-03</t>
  </si>
  <si>
    <t xml:space="preserve">Skizzenannahme, nicht freigegeben</t>
  </si>
  <si>
    <t xml:space="preserve">04_Lastmitteilung.docx</t>
  </si>
  <si>
    <t xml:space="preserve">Instrument Stand 1</t>
  </si>
  <si>
    <t xml:space="preserve">Rückblick</t>
  </si>
  <si>
    <t xml:space="preserve">13_Kontrollnivellement.pdf</t>
  </si>
  <si>
    <t xml:space="preserve">Kontrolle Rohrkopf</t>
  </si>
  <si>
    <t xml:space="preserve">Vorblick auf markierte Kerbe</t>
  </si>
  <si>
    <t xml:space="preserve">Instrument Stand 2</t>
  </si>
  <si>
    <t xml:space="preserve">Rückblick nach Umsetzen</t>
  </si>
  <si>
    <t xml:space="preserve">Rückschluss Hofmarke</t>
  </si>
  <si>
    <t xml:space="preserve">Vorblick auf Ausgangspunkt</t>
  </si>
  <si>
    <t xml:space="preserve">3 Kennwert- und Lastregister</t>
  </si>
  <si>
    <t xml:space="preserve">Kennwerte, Probenresultate und Lieferantendaten mit jeweiligem Geltungsbereich. WM-L-03 enthält charakteristische Lasten, keine vollständigen Lastkombinationen.</t>
  </si>
  <si>
    <t xml:space="preserve">Stand</t>
  </si>
  <si>
    <t xml:space="preserve">Objekt / Probe</t>
  </si>
  <si>
    <t xml:space="preserve">Parameter</t>
  </si>
  <si>
    <t xml:space="preserve">Wert</t>
  </si>
  <si>
    <t xml:space="preserve">Einheit</t>
  </si>
  <si>
    <t xml:space="preserve">Geltungsbereich</t>
  </si>
  <si>
    <t xml:space="preserve">Mitteldichter Sand</t>
  </si>
  <si>
    <t xml:space="preserve">Wichte</t>
  </si>
  <si>
    <t xml:space="preserve">kN/m³</t>
  </si>
  <si>
    <t xml:space="preserve">Vorläufiger charakteristischer Ansatz</t>
  </si>
  <si>
    <t xml:space="preserve">Wichte unter Auftrieb</t>
  </si>
  <si>
    <t xml:space="preserve">Reibungswinkel</t>
  </si>
  <si>
    <t xml:space="preserve">Grad</t>
  </si>
  <si>
    <t xml:space="preserve">Kohäsion</t>
  </si>
  <si>
    <t xml:space="preserve">kN/m²</t>
  </si>
  <si>
    <t xml:space="preserve">Steifemodul unterer Ansatz</t>
  </si>
  <si>
    <t xml:space="preserve">MN/m²</t>
  </si>
  <si>
    <t xml:space="preserve">Kein Bettungsmodul</t>
  </si>
  <si>
    <t xml:space="preserve">Steifemodul oberer Ansatz</t>
  </si>
  <si>
    <t xml:space="preserve">Weicher Schluff KB3</t>
  </si>
  <si>
    <t xml:space="preserve">Nur benannte natürliche Schicht</t>
  </si>
  <si>
    <t xml:space="preserve">Dünnere Lage bei KB3</t>
  </si>
  <si>
    <t xml:space="preserve">Schluff KB4</t>
  </si>
  <si>
    <t xml:space="preserve">Vergleichende Setzungsbetrachtung Ost</t>
  </si>
  <si>
    <t xml:space="preserve">KB1-P3, 2,00 m Tiefe</t>
  </si>
  <si>
    <t xml:space="preserve">Wasserdurchlässigkeit</t>
  </si>
  <si>
    <t xml:space="preserve">m/s</t>
  </si>
  <si>
    <t xml:space="preserve">Entnahmedatum; eingelieferte Sandprobe</t>
  </si>
  <si>
    <t xml:space="preserve">06_Laborwerte.csv</t>
  </si>
  <si>
    <t xml:space="preserve">KB2-P3, 2,50 m Tiefe</t>
  </si>
  <si>
    <t xml:space="preserve">KB3-P2, 1,40 m Tiefe</t>
  </si>
  <si>
    <t xml:space="preserve">Gravimetrischer Wassergehalt</t>
  </si>
  <si>
    <t xml:space="preserve">Prozent</t>
  </si>
  <si>
    <t xml:space="preserve">Entnahmedatum; Schluffprobe</t>
  </si>
  <si>
    <t xml:space="preserve">KB4-P2, 1,75 m Tiefe</t>
  </si>
  <si>
    <t xml:space="preserve">KB4-P3, 2,80 m Tiefe</t>
  </si>
  <si>
    <t xml:space="preserve">Feinanteil</t>
  </si>
  <si>
    <t xml:space="preserve">Massenprozent</t>
  </si>
  <si>
    <t xml:space="preserve">Entnahmedatum; Sandprobe</t>
  </si>
  <si>
    <t xml:space="preserve">Stütze Ost 1</t>
  </si>
  <si>
    <t xml:space="preserve">Ständige Vertikallast Gk</t>
  </si>
  <si>
    <t xml:space="preserve">kN</t>
  </si>
  <si>
    <t xml:space="preserve">WM-L-03, Vorbemessung</t>
  </si>
  <si>
    <t xml:space="preserve">Veränderliche Vertikallast Qk</t>
  </si>
  <si>
    <t xml:space="preserve">Stütze Ost 2</t>
  </si>
  <si>
    <t xml:space="preserve">Maschinensockel</t>
  </si>
  <si>
    <t xml:space="preserve">WM-L-03, Umfang noch abzustimmen</t>
  </si>
  <si>
    <t xml:space="preserve">Reguläre Stütze West</t>
  </si>
  <si>
    <t xml:space="preserve">Bodenplatte</t>
  </si>
  <si>
    <t xml:space="preserve">Verkehrslast</t>
  </si>
  <si>
    <t xml:space="preserve">Vorläufige Nutzervorgabe</t>
  </si>
  <si>
    <t xml:space="preserve">Maschine mit Grundrahmen</t>
  </si>
  <si>
    <t xml:space="preserve">Vertikale Gewichtskraft</t>
  </si>
  <si>
    <t xml:space="preserve">Trocken, ohne Filterkasten</t>
  </si>
  <si>
    <t xml:space="preserve">15_Maschinenblatt_02.docx</t>
  </si>
  <si>
    <t xml:space="preserve">Seitlicher Filterkasten</t>
  </si>
  <si>
    <t xml:space="preserve">Trocken, Ausführung 02</t>
  </si>
  <si>
    <t xml:space="preserve">Maximale Betriebsfüllung</t>
  </si>
  <si>
    <t xml:space="preserve">Vorgesehener Füllstand</t>
  </si>
  <si>
    <t xml:space="preserve">Reinigungsanlage WM-R</t>
  </si>
  <si>
    <t xml:space="preserve">Gewichtskraft im Betriebszustand</t>
  </si>
  <si>
    <t xml:space="preserve">Ohne Betonfundament und bauseitige Leitungen</t>
  </si>
  <si>
    <t xml:space="preserve">Maschinenrahmen</t>
  </si>
  <si>
    <t xml:space="preserve">Achsabstand längs</t>
  </si>
  <si>
    <t xml:space="preserve">m</t>
  </si>
  <si>
    <t xml:space="preserve">Vier Aufstellpunkte, ungleiche Reaktionen</t>
  </si>
  <si>
    <t xml:space="preserve">Achsabstand quer</t>
  </si>
  <si>
    <t xml:space="preserve">Sockel Vorentwurf</t>
  </si>
  <si>
    <t xml:space="preserve">Länge</t>
  </si>
  <si>
    <t xml:space="preserve">Keine freigegebene Fundamentgeometrie</t>
  </si>
  <si>
    <t xml:space="preserve">Breite</t>
  </si>
  <si>
    <t xml:space="preserve">Hauptantrieb</t>
  </si>
  <si>
    <t xml:space="preserve">Vorgesehene Drehzahl</t>
  </si>
  <si>
    <t xml:space="preserve">U/min</t>
  </si>
  <si>
    <t xml:space="preserve">Probelaufblatt steht noch aus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</si>
</sst>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7]#,##0.00\ ;\(#,##0.00&quot;) &quot;;&quot;– &quot;"/>
    <numFmt numFmtId="166" formatCode="\ @"/>
    <numFmt numFmtId="167" formatCode="dd\.mm\.yyyy\ "/>
    <numFmt numFmtId="168" formatCode="hh:mm\ "/>
    <numFmt numFmtId="169" formatCode="[$-407]0.00E+00\ 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5A6041"/>
      <name val="Arial"/>
      <family val="0"/>
      <charset val="1"/>
    </font>
    <font>
      <sz val="10"/>
      <color rgb="FF536269"/>
      <name val="Arial"/>
      <family val="0"/>
      <charset val="1"/>
    </font>
    <font>
      <sz val="10"/>
      <color rgb="FF202D32"/>
      <name val="Arial"/>
      <family val="0"/>
      <charset val="1"/>
    </font>
    <font>
      <sz val="9"/>
      <color rgb="FF202D32"/>
      <name val="Arial"/>
      <family val="0"/>
      <charset val="1"/>
    </font>
    <font>
      <b val="true"/>
      <sz val="13"/>
      <color rgb="FF5A604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A6041"/>
        <bgColor rgb="FF536269"/>
      </patternFill>
    </fill>
    <fill>
      <patternFill patternType="solid">
        <fgColor rgb="FFFFFFFF"/>
        <bgColor rgb="FFF0F4F3"/>
      </patternFill>
    </fill>
    <fill>
      <patternFill patternType="solid">
        <fgColor rgb="FFF0F4F3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A604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4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3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9" fontId="7" fillId="4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1">
    <dxf>
      <fill>
        <patternFill patternType="solid">
          <fgColor rgb="FF5A6041"/>
          <bgColor rgb="FF000000"/>
        </patternFill>
      </fill>
    </dxf>
    <dxf>
      <fill>
        <patternFill patternType="solid">
          <fgColor rgb="FFF0F4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D32"/>
          <bgColor rgb="FF000000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4" type="wholeTable"/>
      <tableStyleElement dxfId="5" type="firstColumnStripe"/>
      <tableStyleElement dxfId="6" type="firstRowStripe"/>
      <tableStyleElement dxfId="7" type="lastColumn"/>
      <tableStyleElement dxfId="8" type="firstColumn"/>
      <tableStyleElement dxfId="9" type="headerRow"/>
      <tableStyleElement dxfId="10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8C4C2"/>
      <rgbColor rgb="FF5A6041"/>
      <rgbColor rgb="FF9999FF"/>
      <rgbColor rgb="FF993366"/>
      <rgbColor rgb="FFF0F4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53626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D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gister5_1" displayName="Register5_1" ref="A8:I20" headerRowCount="1" totalsRowCount="0" totalsRowShown="0">
  <autoFilter ref="A8:I20"/>
  <tableColumns count="9">
    <tableColumn id="1" name="Aufschluss"/>
    <tableColumn id="2" name="Bohrdatum"/>
    <tableColumn id="3" name="Ansatz m örtlich"/>
    <tableColumn id="4" name="Von m u. Gelände"/>
    <tableColumn id="5" name="Bis m u. Gelände"/>
    <tableColumn id="6" name="Mächtigkeit m"/>
    <tableColumn id="7" name="Unterkante m örtlich"/>
    <tableColumn id="8" name="Schicht"/>
    <tableColumn id="9" name="Que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ster5_2" displayName="Register5_2" ref="A8:I31" headerRowCount="1" totalsRowCount="0" totalsRowShown="0">
  <autoFilter ref="A8:I31"/>
  <tableColumns count="9">
    <tableColumn id="1" name="Datum"/>
    <tableColumn id="2" name="Zeit"/>
    <tableColumn id="3" name="Punkt / Vorgang"/>
    <tableColumn id="4" name="Bezug"/>
    <tableColumn id="5" name="Bezugshöhe m"/>
    <tableColumn id="6" name="Ablesung / Versatz m"/>
    <tableColumn id="7" name="Höhe m örtlich"/>
    <tableColumn id="8" name="Art und Umfang"/>
    <tableColumn id="9" name="Quel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er5_3" displayName="Register5_3" ref="A8:G46" headerRowCount="1" totalsRowCount="0" totalsRowShown="0">
  <autoFilter ref="A8:G46"/>
  <tableColumns count="7">
    <tableColumn id="1" name="Stand"/>
    <tableColumn id="2" name="Objekt / Probe"/>
    <tableColumn id="3" name="Parameter"/>
    <tableColumn id="4" name="Wert"/>
    <tableColumn id="5" name="Einheit"/>
    <tableColumn id="6" name="Geltungsbereich"/>
    <tableColumn id="7" name="Quel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A6041"/>
    <pageSetUpPr fitToPage="true"/>
  </sheetPr>
  <dimension ref="A1:I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5" min="4" style="0" width="17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31"/>
    <col collapsed="false" customWidth="true" hidden="false" outlineLevel="0" max="9" min="9" style="0" width="29"/>
  </cols>
  <sheetData>
    <row r="1" customFormat="false" ht="3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5" t="s">
        <v>4</v>
      </c>
      <c r="G4" s="4"/>
      <c r="H4" s="4"/>
      <c r="I4" s="4"/>
    </row>
    <row r="5" customFormat="false" ht="29" hidden="false" customHeight="true" outlineLevel="0" collapsed="false">
      <c r="A5" s="6" t="n">
        <v>12</v>
      </c>
      <c r="B5" s="6"/>
      <c r="C5" s="6"/>
      <c r="D5" s="6"/>
      <c r="E5" s="6"/>
      <c r="F5" s="7" t="n">
        <f aca="false">SUM(F9:F20)</f>
        <v>21</v>
      </c>
      <c r="G5" s="6"/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4</v>
      </c>
      <c r="G8" s="8" t="s">
        <v>10</v>
      </c>
      <c r="H8" s="8" t="s">
        <v>11</v>
      </c>
      <c r="I8" s="8" t="s">
        <v>12</v>
      </c>
    </row>
    <row r="9" customFormat="false" ht="22" hidden="false" customHeight="true" outlineLevel="0" collapsed="false">
      <c r="A9" s="9" t="s">
        <v>13</v>
      </c>
      <c r="B9" s="10" t="n">
        <v>46260</v>
      </c>
      <c r="C9" s="11" t="n">
        <v>20.16</v>
      </c>
      <c r="D9" s="11" t="n">
        <v>0</v>
      </c>
      <c r="E9" s="11" t="n">
        <v>0.8</v>
      </c>
      <c r="F9" s="11" t="n">
        <f aca="false">E9-D9</f>
        <v>0.8</v>
      </c>
      <c r="G9" s="11" t="n">
        <f aca="false">C9-E9</f>
        <v>19.36</v>
      </c>
      <c r="H9" s="9" t="s">
        <v>14</v>
      </c>
      <c r="I9" s="9" t="s">
        <v>15</v>
      </c>
    </row>
    <row r="10" customFormat="false" ht="22" hidden="false" customHeight="true" outlineLevel="0" collapsed="false">
      <c r="A10" s="12" t="s">
        <v>13</v>
      </c>
      <c r="B10" s="13" t="n">
        <v>46260</v>
      </c>
      <c r="C10" s="14" t="n">
        <v>20.16</v>
      </c>
      <c r="D10" s="14" t="n">
        <v>0.8</v>
      </c>
      <c r="E10" s="14" t="n">
        <v>5</v>
      </c>
      <c r="F10" s="14" t="n">
        <f aca="false">E10-D10</f>
        <v>4.2</v>
      </c>
      <c r="G10" s="14" t="n">
        <f aca="false">C10-E10</f>
        <v>15.16</v>
      </c>
      <c r="H10" s="12" t="s">
        <v>16</v>
      </c>
      <c r="I10" s="12" t="s">
        <v>15</v>
      </c>
    </row>
    <row r="11" customFormat="false" ht="22" hidden="false" customHeight="true" outlineLevel="0" collapsed="false">
      <c r="A11" s="9" t="s">
        <v>17</v>
      </c>
      <c r="B11" s="10" t="n">
        <v>46260</v>
      </c>
      <c r="C11" s="11" t="n">
        <v>20.08</v>
      </c>
      <c r="D11" s="11" t="n">
        <v>0</v>
      </c>
      <c r="E11" s="11" t="n">
        <v>1</v>
      </c>
      <c r="F11" s="11" t="n">
        <f aca="false">E11-D11</f>
        <v>1</v>
      </c>
      <c r="G11" s="11" t="n">
        <f aca="false">C11-E11</f>
        <v>19.08</v>
      </c>
      <c r="H11" s="9" t="s">
        <v>14</v>
      </c>
      <c r="I11" s="9" t="s">
        <v>15</v>
      </c>
    </row>
    <row r="12" customFormat="false" ht="22" hidden="false" customHeight="true" outlineLevel="0" collapsed="false">
      <c r="A12" s="12" t="s">
        <v>17</v>
      </c>
      <c r="B12" s="13" t="n">
        <v>46260</v>
      </c>
      <c r="C12" s="14" t="n">
        <v>20.08</v>
      </c>
      <c r="D12" s="14" t="n">
        <v>1</v>
      </c>
      <c r="E12" s="14" t="n">
        <v>5</v>
      </c>
      <c r="F12" s="14" t="n">
        <f aca="false">E12-D12</f>
        <v>4</v>
      </c>
      <c r="G12" s="14" t="n">
        <f aca="false">C12-E12</f>
        <v>15.08</v>
      </c>
      <c r="H12" s="12" t="s">
        <v>16</v>
      </c>
      <c r="I12" s="12" t="s">
        <v>15</v>
      </c>
    </row>
    <row r="13" customFormat="false" ht="22" hidden="false" customHeight="true" outlineLevel="0" collapsed="false">
      <c r="A13" s="9" t="s">
        <v>18</v>
      </c>
      <c r="B13" s="10" t="n">
        <v>46260</v>
      </c>
      <c r="C13" s="11" t="n">
        <v>19.98</v>
      </c>
      <c r="D13" s="11" t="n">
        <v>0</v>
      </c>
      <c r="E13" s="11" t="n">
        <v>0.2</v>
      </c>
      <c r="F13" s="11" t="n">
        <f aca="false">E13-D13</f>
        <v>0.2</v>
      </c>
      <c r="G13" s="11" t="n">
        <f aca="false">C13-E13</f>
        <v>19.78</v>
      </c>
      <c r="H13" s="9" t="s">
        <v>19</v>
      </c>
      <c r="I13" s="9" t="s">
        <v>20</v>
      </c>
    </row>
    <row r="14" customFormat="false" ht="22" hidden="false" customHeight="true" outlineLevel="0" collapsed="false">
      <c r="A14" s="12" t="s">
        <v>18</v>
      </c>
      <c r="B14" s="13" t="n">
        <v>46260</v>
      </c>
      <c r="C14" s="14" t="n">
        <v>19.98</v>
      </c>
      <c r="D14" s="14" t="n">
        <v>0.2</v>
      </c>
      <c r="E14" s="14" t="n">
        <v>1.2</v>
      </c>
      <c r="F14" s="14" t="n">
        <f aca="false">E14-D14</f>
        <v>1</v>
      </c>
      <c r="G14" s="14" t="n">
        <f aca="false">C14-E14</f>
        <v>18.78</v>
      </c>
      <c r="H14" s="12" t="s">
        <v>21</v>
      </c>
      <c r="I14" s="12" t="s">
        <v>20</v>
      </c>
    </row>
    <row r="15" customFormat="false" ht="22" hidden="false" customHeight="true" outlineLevel="0" collapsed="false">
      <c r="A15" s="9" t="s">
        <v>18</v>
      </c>
      <c r="B15" s="10" t="n">
        <v>46260</v>
      </c>
      <c r="C15" s="11" t="n">
        <v>19.98</v>
      </c>
      <c r="D15" s="11" t="n">
        <v>1.2</v>
      </c>
      <c r="E15" s="11" t="n">
        <v>1.6</v>
      </c>
      <c r="F15" s="11" t="n">
        <f aca="false">E15-D15</f>
        <v>0.4</v>
      </c>
      <c r="G15" s="11" t="n">
        <f aca="false">C15-E15</f>
        <v>18.38</v>
      </c>
      <c r="H15" s="9" t="s">
        <v>22</v>
      </c>
      <c r="I15" s="9" t="s">
        <v>20</v>
      </c>
    </row>
    <row r="16" customFormat="false" ht="34" hidden="false" customHeight="true" outlineLevel="0" collapsed="false">
      <c r="A16" s="12" t="s">
        <v>18</v>
      </c>
      <c r="B16" s="13" t="n">
        <v>46260</v>
      </c>
      <c r="C16" s="14" t="n">
        <v>19.98</v>
      </c>
      <c r="D16" s="14" t="n">
        <v>1.6</v>
      </c>
      <c r="E16" s="14" t="n">
        <v>5</v>
      </c>
      <c r="F16" s="14" t="n">
        <f aca="false">E16-D16</f>
        <v>3.4</v>
      </c>
      <c r="G16" s="14" t="n">
        <f aca="false">C16-E16</f>
        <v>14.98</v>
      </c>
      <c r="H16" s="12" t="s">
        <v>23</v>
      </c>
      <c r="I16" s="12" t="s">
        <v>20</v>
      </c>
    </row>
    <row r="17" customFormat="false" ht="22" hidden="false" customHeight="true" outlineLevel="0" collapsed="false">
      <c r="A17" s="9" t="s">
        <v>24</v>
      </c>
      <c r="B17" s="10" t="n">
        <v>46279</v>
      </c>
      <c r="C17" s="11" t="n">
        <v>20.02</v>
      </c>
      <c r="D17" s="11" t="n">
        <v>0</v>
      </c>
      <c r="E17" s="11" t="n">
        <v>0.25</v>
      </c>
      <c r="F17" s="11" t="n">
        <f aca="false">E17-D17</f>
        <v>0.25</v>
      </c>
      <c r="G17" s="11" t="n">
        <f aca="false">C17-E17</f>
        <v>19.77</v>
      </c>
      <c r="H17" s="9" t="s">
        <v>19</v>
      </c>
      <c r="I17" s="9" t="s">
        <v>25</v>
      </c>
    </row>
    <row r="18" customFormat="false" ht="34" hidden="false" customHeight="true" outlineLevel="0" collapsed="false">
      <c r="A18" s="12" t="s">
        <v>24</v>
      </c>
      <c r="B18" s="13" t="n">
        <v>46279</v>
      </c>
      <c r="C18" s="14" t="n">
        <v>20.02</v>
      </c>
      <c r="D18" s="14" t="n">
        <v>0.25</v>
      </c>
      <c r="E18" s="14" t="n">
        <v>1.4</v>
      </c>
      <c r="F18" s="14" t="n">
        <f aca="false">E18-D18</f>
        <v>1.15</v>
      </c>
      <c r="G18" s="14" t="n">
        <f aca="false">C18-E18</f>
        <v>18.62</v>
      </c>
      <c r="H18" s="12" t="s">
        <v>26</v>
      </c>
      <c r="I18" s="12" t="s">
        <v>25</v>
      </c>
    </row>
    <row r="19" customFormat="false" ht="34" hidden="false" customHeight="true" outlineLevel="0" collapsed="false">
      <c r="A19" s="9" t="s">
        <v>24</v>
      </c>
      <c r="B19" s="10" t="n">
        <v>46279</v>
      </c>
      <c r="C19" s="11" t="n">
        <v>20.02</v>
      </c>
      <c r="D19" s="11" t="n">
        <v>1.4</v>
      </c>
      <c r="E19" s="11" t="n">
        <v>2.1</v>
      </c>
      <c r="F19" s="11" t="n">
        <f aca="false">E19-D19</f>
        <v>0.7</v>
      </c>
      <c r="G19" s="11" t="n">
        <f aca="false">C19-E19</f>
        <v>17.92</v>
      </c>
      <c r="H19" s="9" t="s">
        <v>27</v>
      </c>
      <c r="I19" s="9" t="s">
        <v>25</v>
      </c>
    </row>
    <row r="20" customFormat="false" ht="34" hidden="false" customHeight="true" outlineLevel="0" collapsed="false">
      <c r="A20" s="12" t="s">
        <v>24</v>
      </c>
      <c r="B20" s="13" t="n">
        <v>46279</v>
      </c>
      <c r="C20" s="14" t="n">
        <v>20.02</v>
      </c>
      <c r="D20" s="14" t="n">
        <v>2.1</v>
      </c>
      <c r="E20" s="14" t="n">
        <v>6</v>
      </c>
      <c r="F20" s="14" t="n">
        <f aca="false">E20-D20</f>
        <v>3.9</v>
      </c>
      <c r="G20" s="14" t="n">
        <f aca="false">C20-E20</f>
        <v>14.02</v>
      </c>
      <c r="H20" s="12" t="s">
        <v>23</v>
      </c>
      <c r="I20" s="12" t="s">
        <v>25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2026-09-24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23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31"/>
    <col collapsed="false" customWidth="true" hidden="false" outlineLevel="0" max="9" min="9" style="0" width="33"/>
  </cols>
  <sheetData>
    <row r="1" customFormat="false" ht="34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</row>
    <row r="2" customFormat="false" ht="29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  <c r="I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</row>
    <row r="5" customFormat="false" ht="29" hidden="false" customHeight="true" outlineLevel="0" collapsed="false">
      <c r="A5" s="6" t="n">
        <v>23</v>
      </c>
      <c r="B5" s="6"/>
      <c r="C5" s="6"/>
      <c r="D5" s="6"/>
      <c r="E5" s="6"/>
      <c r="F5" s="6"/>
      <c r="G5" s="6"/>
      <c r="H5" s="6"/>
      <c r="I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</row>
    <row r="8" customFormat="false" ht="42" hidden="false" customHeight="true" outlineLevel="0" collapsed="false">
      <c r="A8" s="8" t="s">
        <v>30</v>
      </c>
      <c r="B8" s="8" t="s">
        <v>31</v>
      </c>
      <c r="C8" s="8" t="s">
        <v>32</v>
      </c>
      <c r="D8" s="8" t="s">
        <v>33</v>
      </c>
      <c r="E8" s="8" t="s">
        <v>34</v>
      </c>
      <c r="F8" s="8" t="s">
        <v>35</v>
      </c>
      <c r="G8" s="8" t="s">
        <v>36</v>
      </c>
      <c r="H8" s="8" t="s">
        <v>37</v>
      </c>
      <c r="I8" s="8" t="s">
        <v>12</v>
      </c>
    </row>
    <row r="9" customFormat="false" ht="22" hidden="false" customHeight="true" outlineLevel="0" collapsed="false">
      <c r="A9" s="10" t="n">
        <v>46260</v>
      </c>
      <c r="B9" s="15" t="n">
        <v>0.416666666666667</v>
      </c>
      <c r="C9" s="9" t="s">
        <v>38</v>
      </c>
      <c r="D9" s="9" t="s">
        <v>39</v>
      </c>
      <c r="E9" s="11" t="n">
        <v>20.16</v>
      </c>
      <c r="F9" s="11" t="n">
        <v>1.8</v>
      </c>
      <c r="G9" s="11" t="n">
        <f aca="false">E9-F9</f>
        <v>18.36</v>
      </c>
      <c r="H9" s="9" t="s">
        <v>40</v>
      </c>
      <c r="I9" s="9" t="s">
        <v>41</v>
      </c>
    </row>
    <row r="10" customFormat="false" ht="22" hidden="false" customHeight="true" outlineLevel="0" collapsed="false">
      <c r="A10" s="13" t="n">
        <v>46260</v>
      </c>
      <c r="B10" s="16" t="n">
        <v>0.465277777777778</v>
      </c>
      <c r="C10" s="12" t="s">
        <v>42</v>
      </c>
      <c r="D10" s="12" t="s">
        <v>39</v>
      </c>
      <c r="E10" s="14" t="n">
        <v>20.08</v>
      </c>
      <c r="F10" s="14" t="n">
        <v>1.7</v>
      </c>
      <c r="G10" s="14" t="n">
        <f aca="false">E10-F10</f>
        <v>18.38</v>
      </c>
      <c r="H10" s="12" t="s">
        <v>40</v>
      </c>
      <c r="I10" s="12" t="s">
        <v>41</v>
      </c>
    </row>
    <row r="11" customFormat="false" ht="22" hidden="false" customHeight="true" outlineLevel="0" collapsed="false">
      <c r="A11" s="10" t="n">
        <v>46260</v>
      </c>
      <c r="B11" s="15" t="n">
        <v>0.520833333333333</v>
      </c>
      <c r="C11" s="9" t="s">
        <v>43</v>
      </c>
      <c r="D11" s="9" t="s">
        <v>39</v>
      </c>
      <c r="E11" s="11" t="n">
        <v>19.98</v>
      </c>
      <c r="F11" s="11" t="n">
        <v>1.65</v>
      </c>
      <c r="G11" s="11" t="n">
        <f aca="false">E11-F11</f>
        <v>18.33</v>
      </c>
      <c r="H11" s="9" t="s">
        <v>40</v>
      </c>
      <c r="I11" s="9" t="s">
        <v>41</v>
      </c>
    </row>
    <row r="12" customFormat="false" ht="22" hidden="false" customHeight="true" outlineLevel="0" collapsed="false">
      <c r="A12" s="13" t="n">
        <v>46279</v>
      </c>
      <c r="B12" s="16" t="n">
        <v>0.454861111111111</v>
      </c>
      <c r="C12" s="12" t="s">
        <v>44</v>
      </c>
      <c r="D12" s="12" t="s">
        <v>39</v>
      </c>
      <c r="E12" s="14" t="n">
        <v>20.02</v>
      </c>
      <c r="F12" s="14" t="n">
        <v>1.1</v>
      </c>
      <c r="G12" s="14" t="n">
        <f aca="false">E12-F12</f>
        <v>18.92</v>
      </c>
      <c r="H12" s="12" t="s">
        <v>45</v>
      </c>
      <c r="I12" s="12" t="s">
        <v>41</v>
      </c>
    </row>
    <row r="13" customFormat="false" ht="22" hidden="false" customHeight="true" outlineLevel="0" collapsed="false">
      <c r="A13" s="10" t="n">
        <v>46281</v>
      </c>
      <c r="B13" s="15" t="n">
        <v>0.375</v>
      </c>
      <c r="C13" s="9" t="s">
        <v>44</v>
      </c>
      <c r="D13" s="9" t="s">
        <v>46</v>
      </c>
      <c r="E13" s="11" t="n">
        <v>20.32</v>
      </c>
      <c r="F13" s="11" t="n">
        <v>1.24</v>
      </c>
      <c r="G13" s="11" t="n">
        <f aca="false">E12-F13</f>
        <v>18.78</v>
      </c>
      <c r="H13" s="9" t="s">
        <v>47</v>
      </c>
      <c r="I13" s="9" t="s">
        <v>41</v>
      </c>
    </row>
    <row r="14" customFormat="false" ht="34" hidden="false" customHeight="true" outlineLevel="0" collapsed="false">
      <c r="A14" s="13" t="n">
        <v>46286</v>
      </c>
      <c r="B14" s="16" t="n">
        <v>0.357638888888889</v>
      </c>
      <c r="C14" s="12" t="s">
        <v>44</v>
      </c>
      <c r="D14" s="12" t="s">
        <v>48</v>
      </c>
      <c r="E14" s="14" t="n">
        <v>20.32</v>
      </c>
      <c r="F14" s="14" t="n">
        <v>1.19</v>
      </c>
      <c r="G14" s="14" t="n">
        <f aca="false">E14-F14</f>
        <v>19.13</v>
      </c>
      <c r="H14" s="12" t="s">
        <v>49</v>
      </c>
      <c r="I14" s="12" t="s">
        <v>50</v>
      </c>
    </row>
    <row r="15" customFormat="false" ht="22" hidden="false" customHeight="true" outlineLevel="0" collapsed="false">
      <c r="A15" s="10" t="n">
        <v>46287</v>
      </c>
      <c r="B15" s="15" t="n">
        <v>0.373611111111111</v>
      </c>
      <c r="C15" s="9" t="s">
        <v>44</v>
      </c>
      <c r="D15" s="9" t="s">
        <v>48</v>
      </c>
      <c r="E15" s="11" t="n">
        <v>20.32</v>
      </c>
      <c r="F15" s="11" t="n">
        <v>1.17</v>
      </c>
      <c r="G15" s="11" t="n">
        <f aca="false">E15-F15</f>
        <v>19.15</v>
      </c>
      <c r="H15" s="9" t="s">
        <v>51</v>
      </c>
      <c r="I15" s="9" t="s">
        <v>50</v>
      </c>
    </row>
    <row r="16" customFormat="false" ht="34" hidden="false" customHeight="true" outlineLevel="0" collapsed="false">
      <c r="A16" s="13" t="n">
        <v>46288</v>
      </c>
      <c r="B16" s="16" t="n">
        <v>0.361111111111111</v>
      </c>
      <c r="C16" s="12" t="s">
        <v>44</v>
      </c>
      <c r="D16" s="12" t="s">
        <v>48</v>
      </c>
      <c r="E16" s="14" t="n">
        <v>20.32</v>
      </c>
      <c r="F16" s="14" t="n">
        <v>1.2</v>
      </c>
      <c r="G16" s="14" t="n">
        <f aca="false">E16-F16</f>
        <v>19.12</v>
      </c>
      <c r="H16" s="12" t="s">
        <v>49</v>
      </c>
      <c r="I16" s="12" t="s">
        <v>50</v>
      </c>
    </row>
    <row r="17" customFormat="false" ht="34" hidden="false" customHeight="true" outlineLevel="0" collapsed="false">
      <c r="A17" s="10" t="n">
        <v>46289</v>
      </c>
      <c r="B17" s="15" t="n">
        <v>0.354166666666667</v>
      </c>
      <c r="C17" s="9" t="s">
        <v>44</v>
      </c>
      <c r="D17" s="9" t="s">
        <v>48</v>
      </c>
      <c r="E17" s="11" t="n">
        <v>20.32</v>
      </c>
      <c r="F17" s="11" t="n">
        <v>1.18</v>
      </c>
      <c r="G17" s="11" t="n">
        <f aca="false">E17-F17</f>
        <v>19.14</v>
      </c>
      <c r="H17" s="9" t="s">
        <v>49</v>
      </c>
      <c r="I17" s="9" t="s">
        <v>50</v>
      </c>
    </row>
    <row r="18" customFormat="false" ht="34" hidden="false" customHeight="true" outlineLevel="0" collapsed="false">
      <c r="A18" s="13" t="n">
        <v>46246</v>
      </c>
      <c r="B18" s="16"/>
      <c r="C18" s="12" t="s">
        <v>52</v>
      </c>
      <c r="D18" s="12" t="s">
        <v>53</v>
      </c>
      <c r="E18" s="14" t="n">
        <v>20</v>
      </c>
      <c r="F18" s="14" t="n">
        <v>0</v>
      </c>
      <c r="G18" s="14" t="n">
        <f aca="false">E18-F18</f>
        <v>20</v>
      </c>
      <c r="H18" s="12" t="s">
        <v>54</v>
      </c>
      <c r="I18" s="12" t="s">
        <v>55</v>
      </c>
    </row>
    <row r="19" customFormat="false" ht="22" hidden="false" customHeight="true" outlineLevel="0" collapsed="false">
      <c r="A19" s="10" t="n">
        <v>46260</v>
      </c>
      <c r="B19" s="15"/>
      <c r="C19" s="9" t="s">
        <v>56</v>
      </c>
      <c r="D19" s="9" t="s">
        <v>57</v>
      </c>
      <c r="E19" s="11" t="n">
        <v>20.16</v>
      </c>
      <c r="F19" s="11" t="n">
        <v>0</v>
      </c>
      <c r="G19" s="11" t="n">
        <f aca="false">E19-F19</f>
        <v>20.16</v>
      </c>
      <c r="H19" s="9" t="s">
        <v>58</v>
      </c>
      <c r="I19" s="9" t="s">
        <v>15</v>
      </c>
    </row>
    <row r="20" customFormat="false" ht="22" hidden="false" customHeight="true" outlineLevel="0" collapsed="false">
      <c r="A20" s="13" t="n">
        <v>46260</v>
      </c>
      <c r="B20" s="16"/>
      <c r="C20" s="12" t="s">
        <v>59</v>
      </c>
      <c r="D20" s="12" t="s">
        <v>57</v>
      </c>
      <c r="E20" s="14" t="n">
        <v>20.08</v>
      </c>
      <c r="F20" s="14" t="n">
        <v>0</v>
      </c>
      <c r="G20" s="14" t="n">
        <f aca="false">E20-F20</f>
        <v>20.08</v>
      </c>
      <c r="H20" s="12" t="s">
        <v>58</v>
      </c>
      <c r="I20" s="12" t="s">
        <v>15</v>
      </c>
    </row>
    <row r="21" customFormat="false" ht="22" hidden="false" customHeight="true" outlineLevel="0" collapsed="false">
      <c r="A21" s="10" t="n">
        <v>46260</v>
      </c>
      <c r="B21" s="15"/>
      <c r="C21" s="9" t="s">
        <v>60</v>
      </c>
      <c r="D21" s="9" t="s">
        <v>57</v>
      </c>
      <c r="E21" s="11" t="n">
        <v>19.98</v>
      </c>
      <c r="F21" s="11" t="n">
        <v>0</v>
      </c>
      <c r="G21" s="11" t="n">
        <f aca="false">E21-F21</f>
        <v>19.98</v>
      </c>
      <c r="H21" s="9" t="s">
        <v>58</v>
      </c>
      <c r="I21" s="9" t="s">
        <v>20</v>
      </c>
    </row>
    <row r="22" customFormat="false" ht="22" hidden="false" customHeight="true" outlineLevel="0" collapsed="false">
      <c r="A22" s="13" t="n">
        <v>46279</v>
      </c>
      <c r="B22" s="16"/>
      <c r="C22" s="12" t="s">
        <v>61</v>
      </c>
      <c r="D22" s="12" t="s">
        <v>57</v>
      </c>
      <c r="E22" s="14" t="n">
        <v>20.02</v>
      </c>
      <c r="F22" s="14" t="n">
        <v>0</v>
      </c>
      <c r="G22" s="14" t="n">
        <f aca="false">E22-F22</f>
        <v>20.02</v>
      </c>
      <c r="H22" s="12" t="s">
        <v>58</v>
      </c>
      <c r="I22" s="12" t="s">
        <v>20</v>
      </c>
    </row>
    <row r="23" customFormat="false" ht="22" hidden="false" customHeight="true" outlineLevel="0" collapsed="false">
      <c r="A23" s="10" t="n">
        <v>46246</v>
      </c>
      <c r="B23" s="15"/>
      <c r="C23" s="9" t="s">
        <v>62</v>
      </c>
      <c r="D23" s="9" t="s">
        <v>63</v>
      </c>
      <c r="E23" s="11" t="n">
        <v>20.3</v>
      </c>
      <c r="F23" s="11" t="n">
        <v>0</v>
      </c>
      <c r="G23" s="11" t="n">
        <f aca="false">E23-F23</f>
        <v>20.3</v>
      </c>
      <c r="H23" s="9" t="s">
        <v>64</v>
      </c>
      <c r="I23" s="9" t="s">
        <v>15</v>
      </c>
    </row>
    <row r="24" customFormat="false" ht="34" hidden="false" customHeight="true" outlineLevel="0" collapsed="false">
      <c r="A24" s="13" t="n">
        <v>46279</v>
      </c>
      <c r="B24" s="16"/>
      <c r="C24" s="12" t="s">
        <v>65</v>
      </c>
      <c r="D24" s="12" t="s">
        <v>66</v>
      </c>
      <c r="E24" s="14" t="n">
        <v>20.02</v>
      </c>
      <c r="F24" s="14" t="n">
        <v>0.3</v>
      </c>
      <c r="G24" s="14" t="n">
        <f aca="false">E24+F24</f>
        <v>20.32</v>
      </c>
      <c r="H24" s="12" t="s">
        <v>67</v>
      </c>
      <c r="I24" s="12" t="s">
        <v>20</v>
      </c>
    </row>
    <row r="25" customFormat="false" ht="34" hidden="false" customHeight="true" outlineLevel="0" collapsed="false">
      <c r="A25" s="10" t="n">
        <v>46269</v>
      </c>
      <c r="B25" s="15"/>
      <c r="C25" s="9" t="s">
        <v>68</v>
      </c>
      <c r="D25" s="9" t="s">
        <v>57</v>
      </c>
      <c r="E25" s="11" t="n">
        <v>19.3</v>
      </c>
      <c r="F25" s="11" t="n">
        <v>0</v>
      </c>
      <c r="G25" s="11" t="n">
        <f aca="false">E25-F25</f>
        <v>19.3</v>
      </c>
      <c r="H25" s="9" t="s">
        <v>69</v>
      </c>
      <c r="I25" s="9" t="s">
        <v>15</v>
      </c>
    </row>
    <row r="26" customFormat="false" ht="34" hidden="false" customHeight="true" outlineLevel="0" collapsed="false">
      <c r="A26" s="13" t="n">
        <v>46283</v>
      </c>
      <c r="B26" s="16"/>
      <c r="C26" s="12" t="s">
        <v>70</v>
      </c>
      <c r="D26" s="12" t="s">
        <v>57</v>
      </c>
      <c r="E26" s="14" t="n">
        <v>19.6</v>
      </c>
      <c r="F26" s="14" t="n">
        <v>0</v>
      </c>
      <c r="G26" s="14" t="n">
        <f aca="false">E26-F26</f>
        <v>19.6</v>
      </c>
      <c r="H26" s="12" t="s">
        <v>71</v>
      </c>
      <c r="I26" s="12" t="s">
        <v>25</v>
      </c>
    </row>
    <row r="27" customFormat="false" ht="34" hidden="false" customHeight="true" outlineLevel="0" collapsed="false">
      <c r="A27" s="10" t="n">
        <v>46276</v>
      </c>
      <c r="B27" s="15"/>
      <c r="C27" s="9" t="s">
        <v>72</v>
      </c>
      <c r="D27" s="9" t="s">
        <v>73</v>
      </c>
      <c r="E27" s="11" t="n">
        <v>19.1</v>
      </c>
      <c r="F27" s="11" t="n">
        <v>0</v>
      </c>
      <c r="G27" s="11" t="n">
        <f aca="false">E27-F27</f>
        <v>19.1</v>
      </c>
      <c r="H27" s="9" t="s">
        <v>74</v>
      </c>
      <c r="I27" s="9" t="s">
        <v>75</v>
      </c>
    </row>
    <row r="28" customFormat="false" ht="22" hidden="false" customHeight="true" outlineLevel="0" collapsed="false">
      <c r="A28" s="13" t="n">
        <v>46287</v>
      </c>
      <c r="B28" s="16"/>
      <c r="C28" s="12" t="s">
        <v>76</v>
      </c>
      <c r="D28" s="12" t="s">
        <v>52</v>
      </c>
      <c r="E28" s="14" t="n">
        <v>20</v>
      </c>
      <c r="F28" s="14" t="n">
        <v>1.345</v>
      </c>
      <c r="G28" s="14" t="n">
        <f aca="false">E28+F28</f>
        <v>21.345</v>
      </c>
      <c r="H28" s="12" t="s">
        <v>77</v>
      </c>
      <c r="I28" s="12" t="s">
        <v>78</v>
      </c>
    </row>
    <row r="29" customFormat="false" ht="34" hidden="false" customHeight="true" outlineLevel="0" collapsed="false">
      <c r="A29" s="10" t="n">
        <v>46287</v>
      </c>
      <c r="B29" s="15"/>
      <c r="C29" s="9" t="s">
        <v>79</v>
      </c>
      <c r="D29" s="9" t="s">
        <v>76</v>
      </c>
      <c r="E29" s="11" t="n">
        <f aca="false">G28</f>
        <v>21.345</v>
      </c>
      <c r="F29" s="11" t="n">
        <v>1.025</v>
      </c>
      <c r="G29" s="11" t="n">
        <f aca="false">E29-F29</f>
        <v>20.32</v>
      </c>
      <c r="H29" s="9" t="s">
        <v>80</v>
      </c>
      <c r="I29" s="9" t="s">
        <v>78</v>
      </c>
    </row>
    <row r="30" customFormat="false" ht="22" hidden="false" customHeight="true" outlineLevel="0" collapsed="false">
      <c r="A30" s="13" t="n">
        <v>46287</v>
      </c>
      <c r="B30" s="16"/>
      <c r="C30" s="12" t="s">
        <v>81</v>
      </c>
      <c r="D30" s="12" t="s">
        <v>46</v>
      </c>
      <c r="E30" s="14" t="n">
        <f aca="false">G29</f>
        <v>20.32</v>
      </c>
      <c r="F30" s="14" t="n">
        <v>1.01</v>
      </c>
      <c r="G30" s="14" t="n">
        <f aca="false">E30+F30</f>
        <v>21.33</v>
      </c>
      <c r="H30" s="12" t="s">
        <v>82</v>
      </c>
      <c r="I30" s="12" t="s">
        <v>78</v>
      </c>
    </row>
    <row r="31" customFormat="false" ht="22" hidden="false" customHeight="true" outlineLevel="0" collapsed="false">
      <c r="A31" s="10" t="n">
        <v>46287</v>
      </c>
      <c r="B31" s="15"/>
      <c r="C31" s="9" t="s">
        <v>83</v>
      </c>
      <c r="D31" s="9" t="s">
        <v>81</v>
      </c>
      <c r="E31" s="11" t="n">
        <f aca="false">G30</f>
        <v>21.33</v>
      </c>
      <c r="F31" s="11" t="n">
        <v>1.328</v>
      </c>
      <c r="G31" s="11" t="n">
        <f aca="false">E31-F31</f>
        <v>20.002</v>
      </c>
      <c r="H31" s="9" t="s">
        <v>84</v>
      </c>
      <c r="I31" s="9" t="s">
        <v>78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2026-09-24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C4C2"/>
    <pageSetUpPr fitToPage="true"/>
  </sheetPr>
  <dimension ref="A1:G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29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37"/>
    <col collapsed="false" customWidth="true" hidden="false" outlineLevel="0" max="7" min="7" style="0" width="33"/>
  </cols>
  <sheetData>
    <row r="1" customFormat="false" ht="34" hidden="false" customHeight="true" outlineLevel="0" collapsed="false">
      <c r="A1" s="1" t="s">
        <v>85</v>
      </c>
      <c r="B1" s="1"/>
      <c r="C1" s="1"/>
      <c r="D1" s="1"/>
      <c r="E1" s="1"/>
      <c r="F1" s="1"/>
      <c r="G1" s="1"/>
    </row>
    <row r="2" customFormat="false" ht="29" hidden="false" customHeight="true" outlineLevel="0" collapsed="false">
      <c r="A2" s="2" t="s">
        <v>86</v>
      </c>
      <c r="B2" s="2"/>
      <c r="C2" s="2"/>
      <c r="D2" s="2"/>
      <c r="E2" s="2"/>
      <c r="F2" s="2"/>
      <c r="G2" s="2"/>
    </row>
    <row r="3" customFormat="false" ht="29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29" hidden="false" customHeight="true" outlineLevel="0" collapsed="false">
      <c r="A5" s="6" t="n">
        <v>38</v>
      </c>
      <c r="B5" s="6"/>
      <c r="C5" s="6"/>
      <c r="D5" s="6"/>
      <c r="E5" s="6"/>
      <c r="F5" s="6"/>
      <c r="G5" s="6"/>
    </row>
    <row r="6" customFormat="false" ht="12" hidden="false" customHeight="true" outlineLevel="0" collapsed="false">
      <c r="A6" s="4"/>
      <c r="B6" s="4"/>
      <c r="C6" s="4"/>
      <c r="D6" s="4"/>
      <c r="E6" s="4"/>
      <c r="F6" s="4"/>
      <c r="G6" s="4"/>
    </row>
    <row r="7" customFormat="false" ht="12" hidden="false" customHeight="true" outlineLevel="0" collapsed="false">
      <c r="A7" s="4"/>
      <c r="B7" s="4"/>
      <c r="C7" s="4"/>
      <c r="D7" s="4"/>
      <c r="E7" s="4"/>
      <c r="F7" s="4"/>
      <c r="G7" s="4"/>
    </row>
    <row r="8" customFormat="false" ht="42" hidden="false" customHeight="true" outlineLevel="0" collapsed="false">
      <c r="A8" s="8" t="s">
        <v>87</v>
      </c>
      <c r="B8" s="8" t="s">
        <v>88</v>
      </c>
      <c r="C8" s="8" t="s">
        <v>89</v>
      </c>
      <c r="D8" s="8" t="s">
        <v>90</v>
      </c>
      <c r="E8" s="8" t="s">
        <v>91</v>
      </c>
      <c r="F8" s="8" t="s">
        <v>92</v>
      </c>
      <c r="G8" s="8" t="s">
        <v>12</v>
      </c>
    </row>
    <row r="9" customFormat="false" ht="34" hidden="false" customHeight="true" outlineLevel="0" collapsed="false">
      <c r="A9" s="10" t="n">
        <v>46269</v>
      </c>
      <c r="B9" s="9" t="s">
        <v>93</v>
      </c>
      <c r="C9" s="9" t="s">
        <v>94</v>
      </c>
      <c r="D9" s="11" t="n">
        <v>19</v>
      </c>
      <c r="E9" s="9" t="s">
        <v>95</v>
      </c>
      <c r="F9" s="9" t="s">
        <v>96</v>
      </c>
      <c r="G9" s="9" t="s">
        <v>15</v>
      </c>
    </row>
    <row r="10" customFormat="false" ht="34" hidden="false" customHeight="true" outlineLevel="0" collapsed="false">
      <c r="A10" s="13" t="n">
        <v>46269</v>
      </c>
      <c r="B10" s="12" t="s">
        <v>93</v>
      </c>
      <c r="C10" s="12" t="s">
        <v>97</v>
      </c>
      <c r="D10" s="14" t="n">
        <v>10</v>
      </c>
      <c r="E10" s="12" t="s">
        <v>95</v>
      </c>
      <c r="F10" s="12" t="s">
        <v>96</v>
      </c>
      <c r="G10" s="12" t="s">
        <v>15</v>
      </c>
    </row>
    <row r="11" customFormat="false" ht="34" hidden="false" customHeight="true" outlineLevel="0" collapsed="false">
      <c r="A11" s="10" t="n">
        <v>46269</v>
      </c>
      <c r="B11" s="9" t="s">
        <v>93</v>
      </c>
      <c r="C11" s="9" t="s">
        <v>98</v>
      </c>
      <c r="D11" s="11" t="n">
        <v>32</v>
      </c>
      <c r="E11" s="9" t="s">
        <v>99</v>
      </c>
      <c r="F11" s="9" t="s">
        <v>96</v>
      </c>
      <c r="G11" s="9" t="s">
        <v>15</v>
      </c>
    </row>
    <row r="12" customFormat="false" ht="34" hidden="false" customHeight="true" outlineLevel="0" collapsed="false">
      <c r="A12" s="13" t="n">
        <v>46269</v>
      </c>
      <c r="B12" s="12" t="s">
        <v>93</v>
      </c>
      <c r="C12" s="12" t="s">
        <v>100</v>
      </c>
      <c r="D12" s="14" t="n">
        <v>0</v>
      </c>
      <c r="E12" s="12" t="s">
        <v>101</v>
      </c>
      <c r="F12" s="12" t="s">
        <v>96</v>
      </c>
      <c r="G12" s="12" t="s">
        <v>15</v>
      </c>
    </row>
    <row r="13" customFormat="false" ht="22" hidden="false" customHeight="true" outlineLevel="0" collapsed="false">
      <c r="A13" s="10" t="n">
        <v>46269</v>
      </c>
      <c r="B13" s="9" t="s">
        <v>93</v>
      </c>
      <c r="C13" s="9" t="s">
        <v>102</v>
      </c>
      <c r="D13" s="11" t="n">
        <v>25</v>
      </c>
      <c r="E13" s="9" t="s">
        <v>103</v>
      </c>
      <c r="F13" s="9" t="s">
        <v>104</v>
      </c>
      <c r="G13" s="9" t="s">
        <v>15</v>
      </c>
    </row>
    <row r="14" customFormat="false" ht="22" hidden="false" customHeight="true" outlineLevel="0" collapsed="false">
      <c r="A14" s="13" t="n">
        <v>46269</v>
      </c>
      <c r="B14" s="12" t="s">
        <v>93</v>
      </c>
      <c r="C14" s="12" t="s">
        <v>105</v>
      </c>
      <c r="D14" s="14" t="n">
        <v>40</v>
      </c>
      <c r="E14" s="12" t="s">
        <v>103</v>
      </c>
      <c r="F14" s="12" t="s">
        <v>104</v>
      </c>
      <c r="G14" s="12" t="s">
        <v>15</v>
      </c>
    </row>
    <row r="15" customFormat="false" ht="22" hidden="false" customHeight="true" outlineLevel="0" collapsed="false">
      <c r="A15" s="10" t="n">
        <v>46269</v>
      </c>
      <c r="B15" s="9" t="s">
        <v>106</v>
      </c>
      <c r="C15" s="9" t="s">
        <v>94</v>
      </c>
      <c r="D15" s="11" t="n">
        <v>18</v>
      </c>
      <c r="E15" s="9" t="s">
        <v>95</v>
      </c>
      <c r="F15" s="9" t="s">
        <v>107</v>
      </c>
      <c r="G15" s="9" t="s">
        <v>15</v>
      </c>
    </row>
    <row r="16" customFormat="false" ht="22" hidden="false" customHeight="true" outlineLevel="0" collapsed="false">
      <c r="A16" s="13" t="n">
        <v>46269</v>
      </c>
      <c r="B16" s="12" t="s">
        <v>106</v>
      </c>
      <c r="C16" s="12" t="s">
        <v>97</v>
      </c>
      <c r="D16" s="14" t="n">
        <v>8</v>
      </c>
      <c r="E16" s="12" t="s">
        <v>95</v>
      </c>
      <c r="F16" s="12" t="s">
        <v>107</v>
      </c>
      <c r="G16" s="12" t="s">
        <v>15</v>
      </c>
    </row>
    <row r="17" customFormat="false" ht="34" hidden="false" customHeight="true" outlineLevel="0" collapsed="false">
      <c r="A17" s="10" t="n">
        <v>46269</v>
      </c>
      <c r="B17" s="9" t="s">
        <v>106</v>
      </c>
      <c r="C17" s="9" t="s">
        <v>98</v>
      </c>
      <c r="D17" s="11" t="n">
        <v>22</v>
      </c>
      <c r="E17" s="9" t="s">
        <v>99</v>
      </c>
      <c r="F17" s="9" t="s">
        <v>96</v>
      </c>
      <c r="G17" s="9" t="s">
        <v>15</v>
      </c>
    </row>
    <row r="18" customFormat="false" ht="34" hidden="false" customHeight="true" outlineLevel="0" collapsed="false">
      <c r="A18" s="13" t="n">
        <v>46269</v>
      </c>
      <c r="B18" s="12" t="s">
        <v>106</v>
      </c>
      <c r="C18" s="12" t="s">
        <v>100</v>
      </c>
      <c r="D18" s="14" t="n">
        <v>3</v>
      </c>
      <c r="E18" s="12" t="s">
        <v>101</v>
      </c>
      <c r="F18" s="12" t="s">
        <v>96</v>
      </c>
      <c r="G18" s="12" t="s">
        <v>15</v>
      </c>
    </row>
    <row r="19" customFormat="false" ht="22" hidden="false" customHeight="true" outlineLevel="0" collapsed="false">
      <c r="A19" s="10" t="n">
        <v>46269</v>
      </c>
      <c r="B19" s="9" t="s">
        <v>106</v>
      </c>
      <c r="C19" s="9" t="s">
        <v>102</v>
      </c>
      <c r="D19" s="11" t="n">
        <v>3</v>
      </c>
      <c r="E19" s="9" t="s">
        <v>103</v>
      </c>
      <c r="F19" s="9" t="s">
        <v>108</v>
      </c>
      <c r="G19" s="9" t="s">
        <v>15</v>
      </c>
    </row>
    <row r="20" customFormat="false" ht="22" hidden="false" customHeight="true" outlineLevel="0" collapsed="false">
      <c r="A20" s="13" t="n">
        <v>46269</v>
      </c>
      <c r="B20" s="12" t="s">
        <v>106</v>
      </c>
      <c r="C20" s="12" t="s">
        <v>105</v>
      </c>
      <c r="D20" s="14" t="n">
        <v>6</v>
      </c>
      <c r="E20" s="12" t="s">
        <v>103</v>
      </c>
      <c r="F20" s="12" t="s">
        <v>108</v>
      </c>
      <c r="G20" s="12" t="s">
        <v>15</v>
      </c>
    </row>
    <row r="21" customFormat="false" ht="34" hidden="false" customHeight="true" outlineLevel="0" collapsed="false">
      <c r="A21" s="10" t="n">
        <v>46283</v>
      </c>
      <c r="B21" s="9" t="s">
        <v>109</v>
      </c>
      <c r="C21" s="9" t="s">
        <v>102</v>
      </c>
      <c r="D21" s="11" t="n">
        <v>3</v>
      </c>
      <c r="E21" s="9" t="s">
        <v>103</v>
      </c>
      <c r="F21" s="9" t="s">
        <v>110</v>
      </c>
      <c r="G21" s="9" t="s">
        <v>25</v>
      </c>
    </row>
    <row r="22" customFormat="false" ht="34" hidden="false" customHeight="true" outlineLevel="0" collapsed="false">
      <c r="A22" s="13" t="n">
        <v>46283</v>
      </c>
      <c r="B22" s="12" t="s">
        <v>109</v>
      </c>
      <c r="C22" s="12" t="s">
        <v>105</v>
      </c>
      <c r="D22" s="14" t="n">
        <v>4</v>
      </c>
      <c r="E22" s="12" t="s">
        <v>103</v>
      </c>
      <c r="F22" s="12" t="s">
        <v>110</v>
      </c>
      <c r="G22" s="12" t="s">
        <v>25</v>
      </c>
    </row>
    <row r="23" customFormat="false" ht="34" hidden="false" customHeight="true" outlineLevel="0" collapsed="false">
      <c r="A23" s="10" t="n">
        <v>46260</v>
      </c>
      <c r="B23" s="9" t="s">
        <v>111</v>
      </c>
      <c r="C23" s="9" t="s">
        <v>112</v>
      </c>
      <c r="D23" s="17" t="n">
        <v>2E-005</v>
      </c>
      <c r="E23" s="9" t="s">
        <v>113</v>
      </c>
      <c r="F23" s="9" t="s">
        <v>114</v>
      </c>
      <c r="G23" s="9" t="s">
        <v>115</v>
      </c>
    </row>
    <row r="24" customFormat="false" ht="34" hidden="false" customHeight="true" outlineLevel="0" collapsed="false">
      <c r="A24" s="13" t="n">
        <v>46260</v>
      </c>
      <c r="B24" s="12" t="s">
        <v>116</v>
      </c>
      <c r="C24" s="12" t="s">
        <v>112</v>
      </c>
      <c r="D24" s="18" t="n">
        <v>6E-005</v>
      </c>
      <c r="E24" s="12" t="s">
        <v>113</v>
      </c>
      <c r="F24" s="12" t="s">
        <v>114</v>
      </c>
      <c r="G24" s="12" t="s">
        <v>115</v>
      </c>
    </row>
    <row r="25" customFormat="false" ht="34" hidden="false" customHeight="true" outlineLevel="0" collapsed="false">
      <c r="A25" s="10" t="n">
        <v>46260</v>
      </c>
      <c r="B25" s="9" t="s">
        <v>117</v>
      </c>
      <c r="C25" s="9" t="s">
        <v>118</v>
      </c>
      <c r="D25" s="11" t="n">
        <v>28</v>
      </c>
      <c r="E25" s="9" t="s">
        <v>119</v>
      </c>
      <c r="F25" s="9" t="s">
        <v>120</v>
      </c>
      <c r="G25" s="9" t="s">
        <v>115</v>
      </c>
    </row>
    <row r="26" customFormat="false" ht="34" hidden="false" customHeight="true" outlineLevel="0" collapsed="false">
      <c r="A26" s="13" t="n">
        <v>46279</v>
      </c>
      <c r="B26" s="12" t="s">
        <v>121</v>
      </c>
      <c r="C26" s="12" t="s">
        <v>118</v>
      </c>
      <c r="D26" s="14" t="n">
        <v>31</v>
      </c>
      <c r="E26" s="12" t="s">
        <v>119</v>
      </c>
      <c r="F26" s="12" t="s">
        <v>120</v>
      </c>
      <c r="G26" s="12" t="s">
        <v>115</v>
      </c>
    </row>
    <row r="27" customFormat="false" ht="34" hidden="false" customHeight="true" outlineLevel="0" collapsed="false">
      <c r="A27" s="10" t="n">
        <v>46279</v>
      </c>
      <c r="B27" s="9" t="s">
        <v>122</v>
      </c>
      <c r="C27" s="9" t="s">
        <v>112</v>
      </c>
      <c r="D27" s="17" t="n">
        <v>1.8E-005</v>
      </c>
      <c r="E27" s="9" t="s">
        <v>113</v>
      </c>
      <c r="F27" s="9" t="s">
        <v>114</v>
      </c>
      <c r="G27" s="9" t="s">
        <v>115</v>
      </c>
    </row>
    <row r="28" customFormat="false" ht="34" hidden="false" customHeight="true" outlineLevel="0" collapsed="false">
      <c r="A28" s="13" t="n">
        <v>46279</v>
      </c>
      <c r="B28" s="12" t="s">
        <v>122</v>
      </c>
      <c r="C28" s="12" t="s">
        <v>123</v>
      </c>
      <c r="D28" s="14" t="n">
        <v>7.2</v>
      </c>
      <c r="E28" s="12" t="s">
        <v>124</v>
      </c>
      <c r="F28" s="12" t="s">
        <v>125</v>
      </c>
      <c r="G28" s="12" t="s">
        <v>115</v>
      </c>
    </row>
    <row r="29" customFormat="false" ht="22" hidden="false" customHeight="true" outlineLevel="0" collapsed="false">
      <c r="A29" s="10" t="n">
        <v>46276</v>
      </c>
      <c r="B29" s="9" t="s">
        <v>126</v>
      </c>
      <c r="C29" s="9" t="s">
        <v>127</v>
      </c>
      <c r="D29" s="11" t="n">
        <v>420</v>
      </c>
      <c r="E29" s="9" t="s">
        <v>128</v>
      </c>
      <c r="F29" s="9" t="s">
        <v>129</v>
      </c>
      <c r="G29" s="9" t="s">
        <v>75</v>
      </c>
    </row>
    <row r="30" customFormat="false" ht="34" hidden="false" customHeight="true" outlineLevel="0" collapsed="false">
      <c r="A30" s="13" t="n">
        <v>46276</v>
      </c>
      <c r="B30" s="12" t="s">
        <v>126</v>
      </c>
      <c r="C30" s="12" t="s">
        <v>130</v>
      </c>
      <c r="D30" s="14" t="n">
        <v>180</v>
      </c>
      <c r="E30" s="12" t="s">
        <v>128</v>
      </c>
      <c r="F30" s="12" t="s">
        <v>129</v>
      </c>
      <c r="G30" s="12" t="s">
        <v>75</v>
      </c>
    </row>
    <row r="31" customFormat="false" ht="22" hidden="false" customHeight="true" outlineLevel="0" collapsed="false">
      <c r="A31" s="10" t="n">
        <v>46276</v>
      </c>
      <c r="B31" s="9" t="s">
        <v>131</v>
      </c>
      <c r="C31" s="9" t="s">
        <v>127</v>
      </c>
      <c r="D31" s="11" t="n">
        <v>460</v>
      </c>
      <c r="E31" s="9" t="s">
        <v>128</v>
      </c>
      <c r="F31" s="9" t="s">
        <v>129</v>
      </c>
      <c r="G31" s="9" t="s">
        <v>75</v>
      </c>
    </row>
    <row r="32" customFormat="false" ht="34" hidden="false" customHeight="true" outlineLevel="0" collapsed="false">
      <c r="A32" s="13" t="n">
        <v>46276</v>
      </c>
      <c r="B32" s="12" t="s">
        <v>131</v>
      </c>
      <c r="C32" s="12" t="s">
        <v>130</v>
      </c>
      <c r="D32" s="14" t="n">
        <v>190</v>
      </c>
      <c r="E32" s="12" t="s">
        <v>128</v>
      </c>
      <c r="F32" s="12" t="s">
        <v>129</v>
      </c>
      <c r="G32" s="12" t="s">
        <v>75</v>
      </c>
    </row>
    <row r="33" customFormat="false" ht="22" hidden="false" customHeight="true" outlineLevel="0" collapsed="false">
      <c r="A33" s="10" t="n">
        <v>46276</v>
      </c>
      <c r="B33" s="9" t="s">
        <v>132</v>
      </c>
      <c r="C33" s="9" t="s">
        <v>127</v>
      </c>
      <c r="D33" s="11" t="n">
        <v>260</v>
      </c>
      <c r="E33" s="9" t="s">
        <v>128</v>
      </c>
      <c r="F33" s="9" t="s">
        <v>133</v>
      </c>
      <c r="G33" s="9" t="s">
        <v>75</v>
      </c>
    </row>
    <row r="34" customFormat="false" ht="34" hidden="false" customHeight="true" outlineLevel="0" collapsed="false">
      <c r="A34" s="13" t="n">
        <v>46276</v>
      </c>
      <c r="B34" s="12" t="s">
        <v>132</v>
      </c>
      <c r="C34" s="12" t="s">
        <v>130</v>
      </c>
      <c r="D34" s="14" t="n">
        <v>80</v>
      </c>
      <c r="E34" s="12" t="s">
        <v>128</v>
      </c>
      <c r="F34" s="12" t="s">
        <v>133</v>
      </c>
      <c r="G34" s="12" t="s">
        <v>75</v>
      </c>
    </row>
    <row r="35" customFormat="false" ht="22" hidden="false" customHeight="true" outlineLevel="0" collapsed="false">
      <c r="A35" s="10" t="n">
        <v>46276</v>
      </c>
      <c r="B35" s="9" t="s">
        <v>134</v>
      </c>
      <c r="C35" s="9" t="s">
        <v>127</v>
      </c>
      <c r="D35" s="11" t="n">
        <v>210</v>
      </c>
      <c r="E35" s="9" t="s">
        <v>128</v>
      </c>
      <c r="F35" s="9" t="s">
        <v>129</v>
      </c>
      <c r="G35" s="9" t="s">
        <v>75</v>
      </c>
    </row>
    <row r="36" customFormat="false" ht="34" hidden="false" customHeight="true" outlineLevel="0" collapsed="false">
      <c r="A36" s="13" t="n">
        <v>46276</v>
      </c>
      <c r="B36" s="12" t="s">
        <v>134</v>
      </c>
      <c r="C36" s="12" t="s">
        <v>130</v>
      </c>
      <c r="D36" s="14" t="n">
        <v>90</v>
      </c>
      <c r="E36" s="12" t="s">
        <v>128</v>
      </c>
      <c r="F36" s="12" t="s">
        <v>129</v>
      </c>
      <c r="G36" s="12" t="s">
        <v>75</v>
      </c>
    </row>
    <row r="37" customFormat="false" ht="22" hidden="false" customHeight="true" outlineLevel="0" collapsed="false">
      <c r="A37" s="10" t="n">
        <v>46276</v>
      </c>
      <c r="B37" s="9" t="s">
        <v>135</v>
      </c>
      <c r="C37" s="9" t="s">
        <v>136</v>
      </c>
      <c r="D37" s="11" t="n">
        <v>20</v>
      </c>
      <c r="E37" s="9" t="s">
        <v>101</v>
      </c>
      <c r="F37" s="9" t="s">
        <v>137</v>
      </c>
      <c r="G37" s="9" t="s">
        <v>75</v>
      </c>
    </row>
    <row r="38" customFormat="false" ht="34" hidden="false" customHeight="true" outlineLevel="0" collapsed="false">
      <c r="A38" s="13" t="n">
        <v>46287</v>
      </c>
      <c r="B38" s="12" t="s">
        <v>138</v>
      </c>
      <c r="C38" s="12" t="s">
        <v>139</v>
      </c>
      <c r="D38" s="14" t="n">
        <v>160</v>
      </c>
      <c r="E38" s="12" t="s">
        <v>128</v>
      </c>
      <c r="F38" s="12" t="s">
        <v>140</v>
      </c>
      <c r="G38" s="12" t="s">
        <v>141</v>
      </c>
    </row>
    <row r="39" customFormat="false" ht="34" hidden="false" customHeight="true" outlineLevel="0" collapsed="false">
      <c r="A39" s="10" t="n">
        <v>46287</v>
      </c>
      <c r="B39" s="9" t="s">
        <v>142</v>
      </c>
      <c r="C39" s="9" t="s">
        <v>139</v>
      </c>
      <c r="D39" s="11" t="n">
        <v>20</v>
      </c>
      <c r="E39" s="9" t="s">
        <v>128</v>
      </c>
      <c r="F39" s="9" t="s">
        <v>143</v>
      </c>
      <c r="G39" s="9" t="s">
        <v>141</v>
      </c>
    </row>
    <row r="40" customFormat="false" ht="34" hidden="false" customHeight="true" outlineLevel="0" collapsed="false">
      <c r="A40" s="13" t="n">
        <v>46287</v>
      </c>
      <c r="B40" s="12" t="s">
        <v>144</v>
      </c>
      <c r="C40" s="12" t="s">
        <v>139</v>
      </c>
      <c r="D40" s="14" t="n">
        <v>40</v>
      </c>
      <c r="E40" s="12" t="s">
        <v>128</v>
      </c>
      <c r="F40" s="12" t="s">
        <v>145</v>
      </c>
      <c r="G40" s="12" t="s">
        <v>141</v>
      </c>
    </row>
    <row r="41" customFormat="false" ht="34" hidden="false" customHeight="true" outlineLevel="0" collapsed="false">
      <c r="A41" s="10" t="n">
        <v>46287</v>
      </c>
      <c r="B41" s="9" t="s">
        <v>146</v>
      </c>
      <c r="C41" s="9" t="s">
        <v>147</v>
      </c>
      <c r="D41" s="11" t="n">
        <f aca="false">SUM(D38:D40)</f>
        <v>220</v>
      </c>
      <c r="E41" s="9" t="s">
        <v>128</v>
      </c>
      <c r="F41" s="9" t="s">
        <v>148</v>
      </c>
      <c r="G41" s="9" t="s">
        <v>141</v>
      </c>
    </row>
    <row r="42" customFormat="false" ht="34" hidden="false" customHeight="true" outlineLevel="0" collapsed="false">
      <c r="A42" s="13" t="n">
        <v>46287</v>
      </c>
      <c r="B42" s="12" t="s">
        <v>149</v>
      </c>
      <c r="C42" s="12" t="s">
        <v>150</v>
      </c>
      <c r="D42" s="14" t="n">
        <v>1.8</v>
      </c>
      <c r="E42" s="12" t="s">
        <v>151</v>
      </c>
      <c r="F42" s="12" t="s">
        <v>152</v>
      </c>
      <c r="G42" s="12" t="s">
        <v>141</v>
      </c>
    </row>
    <row r="43" customFormat="false" ht="34" hidden="false" customHeight="true" outlineLevel="0" collapsed="false">
      <c r="A43" s="10" t="n">
        <v>46287</v>
      </c>
      <c r="B43" s="9" t="s">
        <v>149</v>
      </c>
      <c r="C43" s="9" t="s">
        <v>153</v>
      </c>
      <c r="D43" s="11" t="n">
        <v>1.2</v>
      </c>
      <c r="E43" s="9" t="s">
        <v>151</v>
      </c>
      <c r="F43" s="9" t="s">
        <v>152</v>
      </c>
      <c r="G43" s="9" t="s">
        <v>141</v>
      </c>
    </row>
    <row r="44" customFormat="false" ht="34" hidden="false" customHeight="true" outlineLevel="0" collapsed="false">
      <c r="A44" s="13" t="n">
        <v>46276</v>
      </c>
      <c r="B44" s="12" t="s">
        <v>154</v>
      </c>
      <c r="C44" s="12" t="s">
        <v>155</v>
      </c>
      <c r="D44" s="14" t="n">
        <v>2.4</v>
      </c>
      <c r="E44" s="12" t="s">
        <v>151</v>
      </c>
      <c r="F44" s="12" t="s">
        <v>156</v>
      </c>
      <c r="G44" s="12" t="s">
        <v>75</v>
      </c>
    </row>
    <row r="45" customFormat="false" ht="34" hidden="false" customHeight="true" outlineLevel="0" collapsed="false">
      <c r="A45" s="10" t="n">
        <v>46276</v>
      </c>
      <c r="B45" s="9" t="s">
        <v>154</v>
      </c>
      <c r="C45" s="9" t="s">
        <v>157</v>
      </c>
      <c r="D45" s="11" t="n">
        <v>1.8</v>
      </c>
      <c r="E45" s="9" t="s">
        <v>151</v>
      </c>
      <c r="F45" s="9" t="s">
        <v>156</v>
      </c>
      <c r="G45" s="9" t="s">
        <v>75</v>
      </c>
    </row>
    <row r="46" customFormat="false" ht="22" hidden="false" customHeight="true" outlineLevel="0" collapsed="false">
      <c r="A46" s="13" t="n">
        <v>46287</v>
      </c>
      <c r="B46" s="12" t="s">
        <v>158</v>
      </c>
      <c r="C46" s="12" t="s">
        <v>159</v>
      </c>
      <c r="D46" s="14" t="n">
        <v>1500</v>
      </c>
      <c r="E46" s="12" t="s">
        <v>160</v>
      </c>
      <c r="F46" s="12" t="s">
        <v>161</v>
      </c>
      <c r="G46" s="12" t="s">
        <v>141</v>
      </c>
    </row>
  </sheetData>
  <printOptions headings="false" gridLines="false" gridLinesSet="true" horizontalCentered="false" verticalCentered="false"/>
  <pageMargins left="0.3" right="0.3" top="0.4" bottom="0.4" header="0.511811023622047" footer="0.15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&amp;L&amp;"Calibri"&amp;11&amp;A&amp;C&amp;"Calibri"&amp;11Seite &amp;P von &amp;N&amp;R&amp;"Calibri"&amp;11 2026-09-24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