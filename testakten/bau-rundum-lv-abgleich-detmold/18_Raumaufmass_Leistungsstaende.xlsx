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aumbuch" sheetId="1" state="visible" r:id="rId3"/>
    <sheet name="Sockelaufmaß" sheetId="2" state="visible" r:id="rId4"/>
    <sheet name="Leistungsstände" sheetId="3" state="visible" r:id="rId5"/>
  </sheets>
  <definedNames>
    <definedName function="false" hidden="false" localSheetId="2" name="_xlnm.Print_Area" vbProcedure="false">Leistungsstände!$A$1:$H$34</definedName>
    <definedName function="false" hidden="false" localSheetId="2" name="_xlnm.Print_Titles" vbProcedure="false">Leistungsstände!$8:$8</definedName>
    <definedName function="false" hidden="false" localSheetId="0" name="_xlnm.Print_Area" vbProcedure="false">Raumbuch!$A$1:$H$32</definedName>
    <definedName function="false" hidden="false" localSheetId="0" name="_xlnm.Print_Titles" vbProcedure="false">Raumbuch!$8:$8</definedName>
    <definedName function="false" hidden="false" localSheetId="1" name="_xlnm.Print_Area" vbProcedure="false">Sockelaufmaß!$A$1:$H$20</definedName>
    <definedName function="false" hidden="false" localSheetId="1" name="_xlnm.Print_Titles" vbProcedure="false">Sockelaufmaß!$8:$8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<sst xmlns="http://schemas.openxmlformats.org/spreadsheetml/2006/main" count="387" uniqueCount="166">
  <si>
    <t xml:space="preserve">1 Maße und Flächen Bachwinkel</t>
  </si>
  <si>
    <t xml:space="preserve">Raumgeometrie nach 05_Aufmassraeume.pdf. Bestandsaufnahmen und Planungsmaße tragen eigene Stände.</t>
  </si>
  <si>
    <t xml:space="preserve">Ralf Seeger, Stand 22.09.2026</t>
  </si>
  <si>
    <t xml:space="preserve">Positionen</t>
  </si>
  <si>
    <t xml:space="preserve">Raum</t>
  </si>
  <si>
    <t xml:space="preserve">Bauteil</t>
  </si>
  <si>
    <t xml:space="preserve">Merkmal</t>
  </si>
  <si>
    <t xml:space="preserve">Wert</t>
  </si>
  <si>
    <t xml:space="preserve">Einheit</t>
  </si>
  <si>
    <t xml:space="preserve">Stand</t>
  </si>
  <si>
    <t xml:space="preserve">Quelle</t>
  </si>
  <si>
    <t xml:space="preserve">Bezug</t>
  </si>
  <si>
    <t xml:space="preserve">0.11</t>
  </si>
  <si>
    <t xml:space="preserve">Boden</t>
  </si>
  <si>
    <t xml:space="preserve">Länge</t>
  </si>
  <si>
    <t xml:space="preserve">m</t>
  </si>
  <si>
    <t xml:space="preserve">05_Aufmassraeume.pdf</t>
  </si>
  <si>
    <t xml:space="preserve">Lichtes Innenmaß</t>
  </si>
  <si>
    <t xml:space="preserve">Breite</t>
  </si>
  <si>
    <t xml:space="preserve">Fläche</t>
  </si>
  <si>
    <t xml:space="preserve">m²</t>
  </si>
  <si>
    <t xml:space="preserve">Ohne Verschnitt</t>
  </si>
  <si>
    <t xml:space="preserve">0.12</t>
  </si>
  <si>
    <t xml:space="preserve">0.10</t>
  </si>
  <si>
    <t xml:space="preserve">Flur ohne tiefe Nischen</t>
  </si>
  <si>
    <t xml:space="preserve">0.13</t>
  </si>
  <si>
    <t xml:space="preserve">Teeraum, Bestandsfliesen</t>
  </si>
  <si>
    <t xml:space="preserve">Nicht im elastischen Belag</t>
  </si>
  <si>
    <t xml:space="preserve">0.11 / 0.12</t>
  </si>
  <si>
    <t xml:space="preserve">Trennwand</t>
  </si>
  <si>
    <t xml:space="preserve">Freie Länge</t>
  </si>
  <si>
    <t xml:space="preserve">Ohne Öffnung</t>
  </si>
  <si>
    <t xml:space="preserve">Höhe</t>
  </si>
  <si>
    <t xml:space="preserve">Bis tragende Decke</t>
  </si>
  <si>
    <t xml:space="preserve">Eine Ansichtsfläche</t>
  </si>
  <si>
    <t xml:space="preserve">Geometrische Ansicht</t>
  </si>
  <si>
    <t xml:space="preserve">Beide Seiten</t>
  </si>
  <si>
    <t xml:space="preserve">Zwei Beschichtungsflächen</t>
  </si>
  <si>
    <t xml:space="preserve">T12 Bestand</t>
  </si>
  <si>
    <t xml:space="preserve">Freier Durchgang</t>
  </si>
  <si>
    <t xml:space="preserve">16_Tueroeffnung_T12.pdf</t>
  </si>
  <si>
    <t xml:space="preserve">Türblatt etwa 90 Grad offen</t>
  </si>
  <si>
    <t xml:space="preserve">Maueröffnung unten</t>
  </si>
  <si>
    <t xml:space="preserve">Zargenränder örtlich freigelegt</t>
  </si>
  <si>
    <t xml:space="preserve">Maueröffnung oben</t>
  </si>
  <si>
    <t xml:space="preserve">Putzreste belassen</t>
  </si>
  <si>
    <t xml:space="preserve">Mauerwerksdicke</t>
  </si>
  <si>
    <t xml:space="preserve">mm</t>
  </si>
  <si>
    <t xml:space="preserve">Ohne Putz</t>
  </si>
  <si>
    <t xml:space="preserve">Entnommene Fliese</t>
  </si>
  <si>
    <t xml:space="preserve">13_Oeffnungsbericht_Boden.pdf</t>
  </si>
  <si>
    <t xml:space="preserve">An Küchenzeile</t>
  </si>
  <si>
    <t xml:space="preserve">Nennformat 20 × 20 cm</t>
  </si>
  <si>
    <t xml:space="preserve">Dicke</t>
  </si>
  <si>
    <t xml:space="preserve">Ungefähr</t>
  </si>
  <si>
    <t xml:space="preserve">Flurdecke Planung</t>
  </si>
  <si>
    <t xml:space="preserve">Abhängung</t>
  </si>
  <si>
    <t xml:space="preserve">03_Baubeschreibung_02.docx</t>
  </si>
  <si>
    <t xml:space="preserve">Unter Bestandsdecke</t>
  </si>
  <si>
    <t xml:space="preserve">2 Einzelwandregister BW-26</t>
  </si>
  <si>
    <t xml:space="preserve">Einzelstreckenaufteilung vom 22.09.2026 zu 14_Sockelstrecken.csv. Wandnummern gelten nur in diesem Register; Tür T12 bleibt Planungsansatz.</t>
  </si>
  <si>
    <t xml:space="preserve">Brutto m</t>
  </si>
  <si>
    <t xml:space="preserve">Abzug m</t>
  </si>
  <si>
    <t xml:space="preserve">Sockel m</t>
  </si>
  <si>
    <t xml:space="preserve">Wand</t>
  </si>
  <si>
    <t xml:space="preserve">Register / Beleg</t>
  </si>
  <si>
    <t xml:space="preserve">Abzugsgrund</t>
  </si>
  <si>
    <t xml:space="preserve">Längswand 1</t>
  </si>
  <si>
    <t xml:space="preserve">Einzelwandregister BW-26</t>
  </si>
  <si>
    <t xml:space="preserve">Durchgang 0,90 m</t>
  </si>
  <si>
    <t xml:space="preserve">Längswand 2</t>
  </si>
  <si>
    <t xml:space="preserve">Stirnwand 1</t>
  </si>
  <si>
    <t xml:space="preserve">Fester Schranksockel</t>
  </si>
  <si>
    <t xml:space="preserve">Stirnwand 2</t>
  </si>
  <si>
    <t xml:space="preserve">Durchgehender Sockel</t>
  </si>
  <si>
    <t xml:space="preserve">T12 geplant, lichte Breite 1,00 m</t>
  </si>
  <si>
    <t xml:space="preserve">Bodenbündiger Einbauschrank</t>
  </si>
  <si>
    <t xml:space="preserve">Zwei geplante Türanschlüsse</t>
  </si>
  <si>
    <t xml:space="preserve">Ein geplanter Türanschluss</t>
  </si>
  <si>
    <t xml:space="preserve">Eingangsanschluss</t>
  </si>
  <si>
    <t xml:space="preserve">Hofanschluss</t>
  </si>
  <si>
    <t xml:space="preserve">3 Leistungsregister der Bearbeitungsstände</t>
  </si>
  <si>
    <t xml:space="preserve">Einzelwerte je Originalfassung. BB-02 ist Nutzerstand, LV Revision 03 noch nicht versandt; Lieferauskünfte sind keine Bestellung.</t>
  </si>
  <si>
    <t xml:space="preserve">Datum</t>
  </si>
  <si>
    <t xml:space="preserve">Fassung</t>
  </si>
  <si>
    <t xml:space="preserve">Stelle</t>
  </si>
  <si>
    <t xml:space="preserve">Gegenstand</t>
  </si>
  <si>
    <t xml:space="preserve">Menge / Wert</t>
  </si>
  <si>
    <t xml:space="preserve">Beschreibung</t>
  </si>
  <si>
    <t xml:space="preserve">BB-01</t>
  </si>
  <si>
    <t xml:space="preserve">Abschnitt 1</t>
  </si>
  <si>
    <t xml:space="preserve">Wanddicke</t>
  </si>
  <si>
    <t xml:space="preserve">Beplankung noch abzustimmen</t>
  </si>
  <si>
    <t xml:space="preserve">02_Baubeschreibung_01.pdf</t>
  </si>
  <si>
    <t xml:space="preserve">Abschnitt 2</t>
  </si>
  <si>
    <t xml:space="preserve">Belagsfläche</t>
  </si>
  <si>
    <t xml:space="preserve">PVC zunächst bevorzugt</t>
  </si>
  <si>
    <t xml:space="preserve">Abschnitt 3</t>
  </si>
  <si>
    <t xml:space="preserve">Tür T12</t>
  </si>
  <si>
    <t xml:space="preserve">m lichte Breite</t>
  </si>
  <si>
    <t xml:space="preserve">Ohne besondere Feuerwiderstandsanforderung</t>
  </si>
  <si>
    <t xml:space="preserve">LV Revision 03</t>
  </si>
  <si>
    <t xml:space="preserve">01.010</t>
  </si>
  <si>
    <t xml:space="preserve">Baustelleneinrichtung</t>
  </si>
  <si>
    <t xml:space="preserve">pauschal</t>
  </si>
  <si>
    <t xml:space="preserve">Staubdichte, abschließbare Trennung</t>
  </si>
  <si>
    <t xml:space="preserve">04_LV_Ausbau_03.docx</t>
  </si>
  <si>
    <t xml:space="preserve">02.010</t>
  </si>
  <si>
    <t xml:space="preserve">Metallständerwand</t>
  </si>
  <si>
    <t xml:space="preserve">100 mm, beidseitig einlagig</t>
  </si>
  <si>
    <t xml:space="preserve">02.020</t>
  </si>
  <si>
    <t xml:space="preserve">Spachteln</t>
  </si>
  <si>
    <t xml:space="preserve">Qualitätsstufe Q2</t>
  </si>
  <si>
    <t xml:space="preserve">03.010</t>
  </si>
  <si>
    <t xml:space="preserve">Bodenbelag</t>
  </si>
  <si>
    <t xml:space="preserve">PVC, Menge einschließlich 10 Prozent Verschnitt</t>
  </si>
  <si>
    <t xml:space="preserve">03.020</t>
  </si>
  <si>
    <t xml:space="preserve">Sockel</t>
  </si>
  <si>
    <t xml:space="preserve">Aus Belagsmaterial, 8 cm hoch</t>
  </si>
  <si>
    <t xml:space="preserve">04.010</t>
  </si>
  <si>
    <t xml:space="preserve">Anstrich neue Wand</t>
  </si>
  <si>
    <t xml:space="preserve">Zweifach matt</t>
  </si>
  <si>
    <t xml:space="preserve">04.020</t>
  </si>
  <si>
    <t xml:space="preserve">Anstrich Bestandswand</t>
  </si>
  <si>
    <t xml:space="preserve">Reinigen und örtlich ausbessern</t>
  </si>
  <si>
    <t xml:space="preserve">04.030</t>
  </si>
  <si>
    <t xml:space="preserve">Anstrich Gruppendecken</t>
  </si>
  <si>
    <t xml:space="preserve">Bestehende Decken bleiben</t>
  </si>
  <si>
    <t xml:space="preserve">05.010</t>
  </si>
  <si>
    <t xml:space="preserve">Stück</t>
  </si>
  <si>
    <t xml:space="preserve">0,90 × 2,10 m, ohne Türschließer</t>
  </si>
  <si>
    <t xml:space="preserve">06.010</t>
  </si>
  <si>
    <t xml:space="preserve">Flurdecke</t>
  </si>
  <si>
    <t xml:space="preserve">Zugang nach Ausbau von Leuchten</t>
  </si>
  <si>
    <t xml:space="preserve">07.010</t>
  </si>
  <si>
    <t xml:space="preserve">Abschlussreinigung</t>
  </si>
  <si>
    <t xml:space="preserve">Eigene Arbeitsbereiche</t>
  </si>
  <si>
    <t xml:space="preserve">BB-02</t>
  </si>
  <si>
    <t xml:space="preserve">Beidseitig zweilagige Beplankung</t>
  </si>
  <si>
    <t xml:space="preserve">Musterfeld</t>
  </si>
  <si>
    <t xml:space="preserve">Raum 0.11, Oberfläche Q3</t>
  </si>
  <si>
    <t xml:space="preserve">Linoleum, Einbaumenge ohne Verschnitt</t>
  </si>
  <si>
    <t xml:space="preserve">Sockelhöhe</t>
  </si>
  <si>
    <t xml:space="preserve">cm</t>
  </si>
  <si>
    <t xml:space="preserve">Gesonderte Leistung</t>
  </si>
  <si>
    <t xml:space="preserve">Lose Fliesen</t>
  </si>
  <si>
    <t xml:space="preserve">Ersatz bei passendem Material</t>
  </si>
  <si>
    <t xml:space="preserve">Eigenschaften nach BS-09</t>
  </si>
  <si>
    <t xml:space="preserve">Abschnitt 4</t>
  </si>
  <si>
    <t xml:space="preserve">Revisionsöffnungen</t>
  </si>
  <si>
    <t xml:space="preserve">Je 600 × 600 mm freie Öffnung</t>
  </si>
  <si>
    <t xml:space="preserve">Abhängung 35 cm</t>
  </si>
  <si>
    <t xml:space="preserve">Gruppendecken</t>
  </si>
  <si>
    <t xml:space="preserve">Nur Anstrich</t>
  </si>
  <si>
    <t xml:space="preserve">BR-26-512</t>
  </si>
  <si>
    <t xml:space="preserve">Lieferbreite Linoleum</t>
  </si>
  <si>
    <t xml:space="preserve">Endgültige Schnittliste fehlt</t>
  </si>
  <si>
    <t xml:space="preserve">15_Lieferauskunft_Boden.docx</t>
  </si>
  <si>
    <t xml:space="preserve">Sockelstreifen</t>
  </si>
  <si>
    <t xml:space="preserve">mm Höhe</t>
  </si>
  <si>
    <t xml:space="preserve">Kein angeformtes Hohlkehlprofil</t>
  </si>
  <si>
    <t xml:space="preserve">Musterpost</t>
  </si>
  <si>
    <t xml:space="preserve">Liefernachricht</t>
  </si>
  <si>
    <t xml:space="preserve">Musterabschnitte</t>
  </si>
  <si>
    <t xml:space="preserve">Graugrün, Schiefergrau, gedecktes Rot</t>
  </si>
  <si>
    <t xml:space="preserve">17_Roemer_Musterlieferung.eml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</si>
</sst>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 @"/>
    <numFmt numFmtId="166" formatCode="[$-407]#,##0.00\ ;\(#,##0.00&quot;) &quot;;&quot;– &quot;"/>
    <numFmt numFmtId="167" formatCode="dd\.mm\.yyyy\ "/>
  </numFmts>
  <fonts count="11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5"/>
      <color rgb="FF385A78"/>
      <name val="Arial"/>
      <family val="0"/>
      <charset val="1"/>
    </font>
    <font>
      <sz val="10"/>
      <color rgb="FF536269"/>
      <name val="Arial"/>
      <family val="0"/>
      <charset val="1"/>
    </font>
    <font>
      <sz val="10"/>
      <color rgb="FF202D32"/>
      <name val="Arial"/>
      <family val="0"/>
      <charset val="1"/>
    </font>
    <font>
      <b val="true"/>
      <sz val="13"/>
      <color rgb="FF385A7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202D3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85A78"/>
        <bgColor rgb="FF536269"/>
      </patternFill>
    </fill>
    <fill>
      <patternFill patternType="solid">
        <fgColor rgb="FFFFFFFF"/>
        <bgColor rgb="FFF0F4F3"/>
      </patternFill>
    </fill>
    <fill>
      <patternFill patternType="solid">
        <fgColor rgb="FFF0F4F3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385A78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0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3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7" fillId="3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7" fillId="4" borderId="0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4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7" fillId="4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11">
    <dxf>
      <fill>
        <patternFill patternType="solid">
          <fgColor rgb="FF385A78"/>
          <bgColor rgb="FF000000"/>
        </patternFill>
      </fill>
    </dxf>
    <dxf>
      <fill>
        <patternFill patternType="solid">
          <fgColor rgb="FFF0F4F3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02D32"/>
          <bgColor rgb="FF000000"/>
        </patternFill>
      </fill>
    </dxf>
    <dxf>
      <font>
        <color rgb="FF000000"/>
      </font>
      <border diagonalUp="false" diagonalDown="false"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 diagonalUp="false" diagonalDown="false">
        <left/>
        <right/>
        <top style="double">
          <color theme="4"/>
        </top>
        <bottom/>
        <diagonal/>
      </border>
    </dxf>
  </dxfs>
  <tableStyles count="1">
    <tableStyle count="7" name="TableStyleMedium2">
      <tableStyleElement dxfId="4" type="wholeTable"/>
      <tableStyleElement dxfId="5" type="firstColumnStripe"/>
      <tableStyleElement dxfId="6" type="firstRowStripe"/>
      <tableStyleElement dxfId="7" type="lastColumn"/>
      <tableStyleElement dxfId="8" type="firstColumn"/>
      <tableStyleElement dxfId="9" type="headerRow"/>
      <tableStyleElement dxfId="10" type="totalRow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B8C4C2"/>
      <rgbColor rgb="FF808080"/>
      <rgbColor rgb="FF9999FF"/>
      <rgbColor rgb="FF993366"/>
      <rgbColor rgb="FFF0F4F3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46B1E1"/>
      <rgbColor rgb="FF99CC00"/>
      <rgbColor rgb="FFFFCC00"/>
      <rgbColor rgb="FFFF9900"/>
      <rgbColor rgb="FFFF6600"/>
      <rgbColor rgb="FF536269"/>
      <rgbColor rgb="FF969696"/>
      <rgbColor rgb="FF003366"/>
      <rgbColor rgb="FF339966"/>
      <rgbColor rgb="FF003300"/>
      <rgbColor rgb="FF333300"/>
      <rgbColor rgb="FF993300"/>
      <rgbColor rgb="FF993366"/>
      <rgbColor rgb="FF385A78"/>
      <rgbColor rgb="FF202D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Register2_1" displayName="Register2_1" ref="A8:H32" headerRowCount="1" totalsRowCount="0" totalsRowShown="0">
  <autoFilter ref="A8:H32"/>
  <tableColumns count="8">
    <tableColumn id="1" name="Raum"/>
    <tableColumn id="2" name="Bauteil"/>
    <tableColumn id="3" name="Merkmal"/>
    <tableColumn id="4" name="Wert"/>
    <tableColumn id="5" name="Einheit"/>
    <tableColumn id="6" name="Stand"/>
    <tableColumn id="7" name="Quelle"/>
    <tableColumn id="8" name="Bezu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gister2_2" displayName="Register2_2" ref="A8:H20" headerRowCount="1" totalsRowCount="0" totalsRowShown="0">
  <autoFilter ref="A8:H20"/>
  <tableColumns count="8">
    <tableColumn id="1" name="Raum"/>
    <tableColumn id="2" name="Wand"/>
    <tableColumn id="3" name="Stand"/>
    <tableColumn id="4" name="Register / Beleg"/>
    <tableColumn id="5" name="Brutto m"/>
    <tableColumn id="6" name="Abzug m"/>
    <tableColumn id="7" name="Sockel m"/>
    <tableColumn id="8" name="Abzugsgrun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gister2_3" displayName="Register2_3" ref="A8:H34" headerRowCount="1" totalsRowCount="0" totalsRowShown="0">
  <autoFilter ref="A8:H34"/>
  <tableColumns count="8">
    <tableColumn id="1" name="Datum"/>
    <tableColumn id="2" name="Fassung"/>
    <tableColumn id="3" name="Stelle"/>
    <tableColumn id="4" name="Gegenstand"/>
    <tableColumn id="5" name="Menge / Wert"/>
    <tableColumn id="6" name="Einheit"/>
    <tableColumn id="7" name="Beschreibung"/>
    <tableColumn id="8" name="Quel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85A78"/>
    <pageSetUpPr fitToPage="true"/>
  </sheetPr>
  <dimension ref="A1:H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0"/>
    <col collapsed="false" customWidth="true" hidden="false" outlineLevel="0" max="3" min="3" style="0" width="27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33"/>
    <col collapsed="false" customWidth="true" hidden="false" outlineLevel="0" max="8" min="8" style="0" width="28"/>
  </cols>
  <sheetData>
    <row r="1" customFormat="false" ht="3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9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29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34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</row>
    <row r="5" customFormat="false" ht="29" hidden="false" customHeight="true" outlineLevel="0" collapsed="false">
      <c r="A5" s="5" t="n">
        <v>24</v>
      </c>
      <c r="B5" s="5"/>
      <c r="C5" s="5"/>
      <c r="D5" s="5"/>
      <c r="E5" s="5"/>
      <c r="F5" s="5"/>
      <c r="G5" s="5"/>
      <c r="H5" s="5"/>
    </row>
    <row r="6" customFormat="false" ht="12" hidden="false" customHeight="true" outlineLevel="0" collapsed="false">
      <c r="A6" s="4"/>
      <c r="B6" s="4"/>
      <c r="C6" s="4"/>
      <c r="D6" s="4"/>
      <c r="E6" s="4"/>
      <c r="F6" s="4"/>
      <c r="G6" s="4"/>
      <c r="H6" s="4"/>
    </row>
    <row r="7" customFormat="false" ht="12" hidden="false" customHeight="true" outlineLevel="0" collapsed="false">
      <c r="A7" s="4"/>
      <c r="B7" s="4"/>
      <c r="C7" s="4"/>
      <c r="D7" s="4"/>
      <c r="E7" s="4"/>
      <c r="F7" s="4"/>
      <c r="G7" s="4"/>
      <c r="H7" s="4"/>
    </row>
    <row r="8" customFormat="false" ht="42" hidden="false" customHeight="true" outlineLevel="0" collapsed="false">
      <c r="A8" s="6" t="s">
        <v>4</v>
      </c>
      <c r="B8" s="6" t="s">
        <v>5</v>
      </c>
      <c r="C8" s="6" t="s">
        <v>6</v>
      </c>
      <c r="D8" s="6" t="s">
        <v>7</v>
      </c>
      <c r="E8" s="6" t="s">
        <v>8</v>
      </c>
      <c r="F8" s="6" t="s">
        <v>9</v>
      </c>
      <c r="G8" s="6" t="s">
        <v>10</v>
      </c>
      <c r="H8" s="6" t="s">
        <v>11</v>
      </c>
    </row>
    <row r="9" customFormat="false" ht="22" hidden="false" customHeight="true" outlineLevel="0" collapsed="false">
      <c r="A9" s="7" t="s">
        <v>12</v>
      </c>
      <c r="B9" s="7" t="s">
        <v>13</v>
      </c>
      <c r="C9" s="7" t="s">
        <v>14</v>
      </c>
      <c r="D9" s="8" t="n">
        <v>9</v>
      </c>
      <c r="E9" s="7" t="s">
        <v>15</v>
      </c>
      <c r="F9" s="9" t="n">
        <v>46276</v>
      </c>
      <c r="G9" s="7" t="s">
        <v>16</v>
      </c>
      <c r="H9" s="7" t="s">
        <v>17</v>
      </c>
    </row>
    <row r="10" customFormat="false" ht="22" hidden="false" customHeight="true" outlineLevel="0" collapsed="false">
      <c r="A10" s="10" t="s">
        <v>12</v>
      </c>
      <c r="B10" s="10" t="s">
        <v>13</v>
      </c>
      <c r="C10" s="10" t="s">
        <v>18</v>
      </c>
      <c r="D10" s="11" t="n">
        <v>4.8</v>
      </c>
      <c r="E10" s="10" t="s">
        <v>15</v>
      </c>
      <c r="F10" s="12" t="n">
        <v>46276</v>
      </c>
      <c r="G10" s="10" t="s">
        <v>16</v>
      </c>
      <c r="H10" s="10" t="s">
        <v>17</v>
      </c>
    </row>
    <row r="11" customFormat="false" ht="22" hidden="false" customHeight="true" outlineLevel="0" collapsed="false">
      <c r="A11" s="7" t="s">
        <v>12</v>
      </c>
      <c r="B11" s="7" t="s">
        <v>13</v>
      </c>
      <c r="C11" s="7" t="s">
        <v>19</v>
      </c>
      <c r="D11" s="8" t="n">
        <f aca="false">D9*D10</f>
        <v>43.2</v>
      </c>
      <c r="E11" s="7" t="s">
        <v>20</v>
      </c>
      <c r="F11" s="9" t="n">
        <v>46276</v>
      </c>
      <c r="G11" s="7" t="s">
        <v>16</v>
      </c>
      <c r="H11" s="7" t="s">
        <v>21</v>
      </c>
    </row>
    <row r="12" customFormat="false" ht="22" hidden="false" customHeight="true" outlineLevel="0" collapsed="false">
      <c r="A12" s="10" t="s">
        <v>22</v>
      </c>
      <c r="B12" s="10" t="s">
        <v>13</v>
      </c>
      <c r="C12" s="10" t="s">
        <v>14</v>
      </c>
      <c r="D12" s="11" t="n">
        <v>6</v>
      </c>
      <c r="E12" s="10" t="s">
        <v>15</v>
      </c>
      <c r="F12" s="12" t="n">
        <v>46276</v>
      </c>
      <c r="G12" s="10" t="s">
        <v>16</v>
      </c>
      <c r="H12" s="10" t="s">
        <v>17</v>
      </c>
    </row>
    <row r="13" customFormat="false" ht="22" hidden="false" customHeight="true" outlineLevel="0" collapsed="false">
      <c r="A13" s="7" t="s">
        <v>22</v>
      </c>
      <c r="B13" s="7" t="s">
        <v>13</v>
      </c>
      <c r="C13" s="7" t="s">
        <v>18</v>
      </c>
      <c r="D13" s="8" t="n">
        <v>4.8</v>
      </c>
      <c r="E13" s="7" t="s">
        <v>15</v>
      </c>
      <c r="F13" s="9" t="n">
        <v>46276</v>
      </c>
      <c r="G13" s="7" t="s">
        <v>16</v>
      </c>
      <c r="H13" s="7" t="s">
        <v>17</v>
      </c>
    </row>
    <row r="14" customFormat="false" ht="22" hidden="false" customHeight="true" outlineLevel="0" collapsed="false">
      <c r="A14" s="10" t="s">
        <v>22</v>
      </c>
      <c r="B14" s="10" t="s">
        <v>13</v>
      </c>
      <c r="C14" s="10" t="s">
        <v>19</v>
      </c>
      <c r="D14" s="11" t="n">
        <f aca="false">D12*D13</f>
        <v>28.8</v>
      </c>
      <c r="E14" s="10" t="s">
        <v>20</v>
      </c>
      <c r="F14" s="12" t="n">
        <v>46276</v>
      </c>
      <c r="G14" s="10" t="s">
        <v>16</v>
      </c>
      <c r="H14" s="10" t="s">
        <v>21</v>
      </c>
    </row>
    <row r="15" customFormat="false" ht="22" hidden="false" customHeight="true" outlineLevel="0" collapsed="false">
      <c r="A15" s="7" t="s">
        <v>23</v>
      </c>
      <c r="B15" s="7" t="s">
        <v>13</v>
      </c>
      <c r="C15" s="7" t="s">
        <v>14</v>
      </c>
      <c r="D15" s="8" t="n">
        <v>12</v>
      </c>
      <c r="E15" s="7" t="s">
        <v>15</v>
      </c>
      <c r="F15" s="9" t="n">
        <v>46276</v>
      </c>
      <c r="G15" s="7" t="s">
        <v>16</v>
      </c>
      <c r="H15" s="7" t="s">
        <v>24</v>
      </c>
    </row>
    <row r="16" customFormat="false" ht="22" hidden="false" customHeight="true" outlineLevel="0" collapsed="false">
      <c r="A16" s="10" t="s">
        <v>23</v>
      </c>
      <c r="B16" s="10" t="s">
        <v>13</v>
      </c>
      <c r="C16" s="10" t="s">
        <v>18</v>
      </c>
      <c r="D16" s="11" t="n">
        <v>2</v>
      </c>
      <c r="E16" s="10" t="s">
        <v>15</v>
      </c>
      <c r="F16" s="12" t="n">
        <v>46276</v>
      </c>
      <c r="G16" s="10" t="s">
        <v>16</v>
      </c>
      <c r="H16" s="10" t="s">
        <v>17</v>
      </c>
    </row>
    <row r="17" customFormat="false" ht="22" hidden="false" customHeight="true" outlineLevel="0" collapsed="false">
      <c r="A17" s="7" t="s">
        <v>23</v>
      </c>
      <c r="B17" s="7" t="s">
        <v>13</v>
      </c>
      <c r="C17" s="7" t="s">
        <v>19</v>
      </c>
      <c r="D17" s="8" t="n">
        <f aca="false">D15*D16</f>
        <v>24</v>
      </c>
      <c r="E17" s="7" t="s">
        <v>20</v>
      </c>
      <c r="F17" s="9" t="n">
        <v>46276</v>
      </c>
      <c r="G17" s="7" t="s">
        <v>16</v>
      </c>
      <c r="H17" s="7" t="s">
        <v>21</v>
      </c>
    </row>
    <row r="18" customFormat="false" ht="22" hidden="false" customHeight="true" outlineLevel="0" collapsed="false">
      <c r="A18" s="10" t="s">
        <v>25</v>
      </c>
      <c r="B18" s="10" t="s">
        <v>13</v>
      </c>
      <c r="C18" s="10" t="s">
        <v>14</v>
      </c>
      <c r="D18" s="11" t="n">
        <v>4</v>
      </c>
      <c r="E18" s="10" t="s">
        <v>15</v>
      </c>
      <c r="F18" s="12" t="n">
        <v>46276</v>
      </c>
      <c r="G18" s="10" t="s">
        <v>16</v>
      </c>
      <c r="H18" s="10" t="s">
        <v>26</v>
      </c>
    </row>
    <row r="19" customFormat="false" ht="22" hidden="false" customHeight="true" outlineLevel="0" collapsed="false">
      <c r="A19" s="7" t="s">
        <v>25</v>
      </c>
      <c r="B19" s="7" t="s">
        <v>13</v>
      </c>
      <c r="C19" s="7" t="s">
        <v>18</v>
      </c>
      <c r="D19" s="8" t="n">
        <v>3</v>
      </c>
      <c r="E19" s="7" t="s">
        <v>15</v>
      </c>
      <c r="F19" s="9" t="n">
        <v>46276</v>
      </c>
      <c r="G19" s="7" t="s">
        <v>16</v>
      </c>
      <c r="H19" s="7" t="s">
        <v>26</v>
      </c>
    </row>
    <row r="20" customFormat="false" ht="34" hidden="false" customHeight="true" outlineLevel="0" collapsed="false">
      <c r="A20" s="10" t="s">
        <v>25</v>
      </c>
      <c r="B20" s="10" t="s">
        <v>13</v>
      </c>
      <c r="C20" s="10" t="s">
        <v>19</v>
      </c>
      <c r="D20" s="11" t="n">
        <f aca="false">D18*D19</f>
        <v>12</v>
      </c>
      <c r="E20" s="10" t="s">
        <v>20</v>
      </c>
      <c r="F20" s="12" t="n">
        <v>46276</v>
      </c>
      <c r="G20" s="10" t="s">
        <v>16</v>
      </c>
      <c r="H20" s="10" t="s">
        <v>27</v>
      </c>
    </row>
    <row r="21" customFormat="false" ht="34" hidden="false" customHeight="true" outlineLevel="0" collapsed="false">
      <c r="A21" s="7" t="s">
        <v>28</v>
      </c>
      <c r="B21" s="7" t="s">
        <v>29</v>
      </c>
      <c r="C21" s="7" t="s">
        <v>30</v>
      </c>
      <c r="D21" s="8" t="n">
        <v>4.8</v>
      </c>
      <c r="E21" s="7" t="s">
        <v>15</v>
      </c>
      <c r="F21" s="9" t="n">
        <v>46276</v>
      </c>
      <c r="G21" s="7" t="s">
        <v>16</v>
      </c>
      <c r="H21" s="7" t="s">
        <v>31</v>
      </c>
    </row>
    <row r="22" customFormat="false" ht="34" hidden="false" customHeight="true" outlineLevel="0" collapsed="false">
      <c r="A22" s="10" t="s">
        <v>28</v>
      </c>
      <c r="B22" s="10" t="s">
        <v>29</v>
      </c>
      <c r="C22" s="10" t="s">
        <v>32</v>
      </c>
      <c r="D22" s="11" t="n">
        <v>3.1</v>
      </c>
      <c r="E22" s="10" t="s">
        <v>15</v>
      </c>
      <c r="F22" s="12" t="n">
        <v>46276</v>
      </c>
      <c r="G22" s="10" t="s">
        <v>16</v>
      </c>
      <c r="H22" s="10" t="s">
        <v>33</v>
      </c>
    </row>
    <row r="23" customFormat="false" ht="34" hidden="false" customHeight="true" outlineLevel="0" collapsed="false">
      <c r="A23" s="7" t="s">
        <v>28</v>
      </c>
      <c r="B23" s="7" t="s">
        <v>29</v>
      </c>
      <c r="C23" s="7" t="s">
        <v>34</v>
      </c>
      <c r="D23" s="8" t="n">
        <f aca="false">D21*D22</f>
        <v>14.88</v>
      </c>
      <c r="E23" s="7" t="s">
        <v>20</v>
      </c>
      <c r="F23" s="9" t="n">
        <v>46276</v>
      </c>
      <c r="G23" s="7" t="s">
        <v>16</v>
      </c>
      <c r="H23" s="7" t="s">
        <v>35</v>
      </c>
    </row>
    <row r="24" customFormat="false" ht="34" hidden="false" customHeight="true" outlineLevel="0" collapsed="false">
      <c r="A24" s="10" t="s">
        <v>28</v>
      </c>
      <c r="B24" s="10" t="s">
        <v>29</v>
      </c>
      <c r="C24" s="10" t="s">
        <v>36</v>
      </c>
      <c r="D24" s="11" t="n">
        <f aca="false">D23*2</f>
        <v>29.76</v>
      </c>
      <c r="E24" s="10" t="s">
        <v>20</v>
      </c>
      <c r="F24" s="12" t="n">
        <v>46276</v>
      </c>
      <c r="G24" s="10" t="s">
        <v>16</v>
      </c>
      <c r="H24" s="10" t="s">
        <v>37</v>
      </c>
    </row>
    <row r="25" customFormat="false" ht="34" hidden="false" customHeight="true" outlineLevel="0" collapsed="false">
      <c r="A25" s="7" t="s">
        <v>22</v>
      </c>
      <c r="B25" s="7" t="s">
        <v>38</v>
      </c>
      <c r="C25" s="7" t="s">
        <v>39</v>
      </c>
      <c r="D25" s="8" t="n">
        <v>0.98</v>
      </c>
      <c r="E25" s="7" t="s">
        <v>15</v>
      </c>
      <c r="F25" s="9" t="n">
        <v>46286</v>
      </c>
      <c r="G25" s="7" t="s">
        <v>40</v>
      </c>
      <c r="H25" s="7" t="s">
        <v>41</v>
      </c>
    </row>
    <row r="26" customFormat="false" ht="34" hidden="false" customHeight="true" outlineLevel="0" collapsed="false">
      <c r="A26" s="10" t="s">
        <v>22</v>
      </c>
      <c r="B26" s="10" t="s">
        <v>38</v>
      </c>
      <c r="C26" s="10" t="s">
        <v>42</v>
      </c>
      <c r="D26" s="11" t="n">
        <v>1.01</v>
      </c>
      <c r="E26" s="10" t="s">
        <v>15</v>
      </c>
      <c r="F26" s="12" t="n">
        <v>46286</v>
      </c>
      <c r="G26" s="10" t="s">
        <v>40</v>
      </c>
      <c r="H26" s="10" t="s">
        <v>43</v>
      </c>
    </row>
    <row r="27" customFormat="false" ht="22" hidden="false" customHeight="true" outlineLevel="0" collapsed="false">
      <c r="A27" s="7" t="s">
        <v>22</v>
      </c>
      <c r="B27" s="7" t="s">
        <v>38</v>
      </c>
      <c r="C27" s="7" t="s">
        <v>44</v>
      </c>
      <c r="D27" s="8" t="n">
        <v>1</v>
      </c>
      <c r="E27" s="7" t="s">
        <v>15</v>
      </c>
      <c r="F27" s="9" t="n">
        <v>46286</v>
      </c>
      <c r="G27" s="7" t="s">
        <v>40</v>
      </c>
      <c r="H27" s="7" t="s">
        <v>45</v>
      </c>
    </row>
    <row r="28" customFormat="false" ht="22" hidden="false" customHeight="true" outlineLevel="0" collapsed="false">
      <c r="A28" s="10" t="s">
        <v>22</v>
      </c>
      <c r="B28" s="10" t="s">
        <v>38</v>
      </c>
      <c r="C28" s="10" t="s">
        <v>46</v>
      </c>
      <c r="D28" s="11" t="n">
        <v>115</v>
      </c>
      <c r="E28" s="10" t="s">
        <v>47</v>
      </c>
      <c r="F28" s="12" t="n">
        <v>46286</v>
      </c>
      <c r="G28" s="10" t="s">
        <v>40</v>
      </c>
      <c r="H28" s="10" t="s">
        <v>48</v>
      </c>
    </row>
    <row r="29" customFormat="false" ht="22" hidden="false" customHeight="true" outlineLevel="0" collapsed="false">
      <c r="A29" s="7" t="s">
        <v>25</v>
      </c>
      <c r="B29" s="7" t="s">
        <v>49</v>
      </c>
      <c r="C29" s="7" t="s">
        <v>14</v>
      </c>
      <c r="D29" s="8" t="n">
        <v>197</v>
      </c>
      <c r="E29" s="7" t="s">
        <v>47</v>
      </c>
      <c r="F29" s="9" t="n">
        <v>46283</v>
      </c>
      <c r="G29" s="7" t="s">
        <v>50</v>
      </c>
      <c r="H29" s="7" t="s">
        <v>51</v>
      </c>
    </row>
    <row r="30" customFormat="false" ht="22" hidden="false" customHeight="true" outlineLevel="0" collapsed="false">
      <c r="A30" s="10" t="s">
        <v>25</v>
      </c>
      <c r="B30" s="10" t="s">
        <v>49</v>
      </c>
      <c r="C30" s="10" t="s">
        <v>18</v>
      </c>
      <c r="D30" s="11" t="n">
        <v>197</v>
      </c>
      <c r="E30" s="10" t="s">
        <v>47</v>
      </c>
      <c r="F30" s="12" t="n">
        <v>46283</v>
      </c>
      <c r="G30" s="10" t="s">
        <v>50</v>
      </c>
      <c r="H30" s="10" t="s">
        <v>52</v>
      </c>
    </row>
    <row r="31" customFormat="false" ht="22" hidden="false" customHeight="true" outlineLevel="0" collapsed="false">
      <c r="A31" s="7" t="s">
        <v>25</v>
      </c>
      <c r="B31" s="7" t="s">
        <v>49</v>
      </c>
      <c r="C31" s="7" t="s">
        <v>53</v>
      </c>
      <c r="D31" s="8" t="n">
        <v>7</v>
      </c>
      <c r="E31" s="7" t="s">
        <v>47</v>
      </c>
      <c r="F31" s="9" t="n">
        <v>46283</v>
      </c>
      <c r="G31" s="7" t="s">
        <v>50</v>
      </c>
      <c r="H31" s="7" t="s">
        <v>54</v>
      </c>
    </row>
    <row r="32" customFormat="false" ht="22" hidden="false" customHeight="true" outlineLevel="0" collapsed="false">
      <c r="A32" s="10" t="s">
        <v>23</v>
      </c>
      <c r="B32" s="10" t="s">
        <v>55</v>
      </c>
      <c r="C32" s="10" t="s">
        <v>56</v>
      </c>
      <c r="D32" s="11" t="n">
        <v>350</v>
      </c>
      <c r="E32" s="10" t="s">
        <v>47</v>
      </c>
      <c r="F32" s="12" t="n">
        <v>46276</v>
      </c>
      <c r="G32" s="10" t="s">
        <v>57</v>
      </c>
      <c r="H32" s="10" t="s">
        <v>58</v>
      </c>
    </row>
  </sheetData>
  <printOptions headings="false" gridLines="false" gridLinesSet="true" horizontalCentered="false" verticalCentered="false"/>
  <pageMargins left="0.3" right="0.3" top="0.4" bottom="0.4" header="0.511811023622047" footer="0.1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&amp;L&amp;"Calibri"&amp;11&amp;A&amp;C&amp;"Calibri"&amp;11Seite &amp;P von &amp;N&amp;R&amp;"Calibri"&amp;11 2026-09-22</oddFooter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C4C2"/>
    <pageSetUpPr fitToPage="true"/>
  </sheetPr>
  <dimension ref="A1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3"/>
    <col collapsed="false" customWidth="true" hidden="false" outlineLevel="0" max="3" min="3" style="0" width="12"/>
    <col collapsed="false" customWidth="true" hidden="false" outlineLevel="0" max="4" min="4" style="0" width="32"/>
    <col collapsed="false" customWidth="true" hidden="false" outlineLevel="0" max="7" min="5" style="0" width="13"/>
    <col collapsed="false" customWidth="true" hidden="false" outlineLevel="0" max="8" min="8" style="0" width="32"/>
  </cols>
  <sheetData>
    <row r="1" customFormat="false" ht="34" hidden="false" customHeight="true" outlineLevel="0" collapsed="false">
      <c r="A1" s="1" t="s">
        <v>59</v>
      </c>
      <c r="B1" s="1"/>
      <c r="C1" s="1"/>
      <c r="D1" s="1"/>
      <c r="E1" s="1"/>
      <c r="F1" s="1"/>
      <c r="G1" s="1"/>
      <c r="H1" s="1"/>
    </row>
    <row r="2" customFormat="false" ht="29" hidden="false" customHeight="true" outlineLevel="0" collapsed="false">
      <c r="A2" s="2" t="s">
        <v>60</v>
      </c>
      <c r="B2" s="2"/>
      <c r="C2" s="2"/>
      <c r="D2" s="2"/>
      <c r="E2" s="2"/>
      <c r="F2" s="2"/>
      <c r="G2" s="2"/>
      <c r="H2" s="2"/>
    </row>
    <row r="3" customFormat="false" ht="29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34" hidden="false" customHeight="true" outlineLevel="0" collapsed="false">
      <c r="A4" s="4" t="s">
        <v>3</v>
      </c>
      <c r="B4" s="4"/>
      <c r="C4" s="4"/>
      <c r="D4" s="4"/>
      <c r="E4" s="13" t="s">
        <v>61</v>
      </c>
      <c r="F4" s="13" t="s">
        <v>62</v>
      </c>
      <c r="G4" s="13" t="s">
        <v>63</v>
      </c>
      <c r="H4" s="4"/>
    </row>
    <row r="5" customFormat="false" ht="29" hidden="false" customHeight="true" outlineLevel="0" collapsed="false">
      <c r="A5" s="5" t="n">
        <v>12</v>
      </c>
      <c r="B5" s="5"/>
      <c r="C5" s="5"/>
      <c r="D5" s="5"/>
      <c r="E5" s="14" t="n">
        <f aca="false">SUM(E9:E20)</f>
        <v>77.2</v>
      </c>
      <c r="F5" s="14" t="n">
        <f aca="false">SUM(F9:F20)</f>
        <v>10</v>
      </c>
      <c r="G5" s="14" t="n">
        <f aca="false">SUM(G9:G20)</f>
        <v>66.2</v>
      </c>
      <c r="H5" s="5"/>
    </row>
    <row r="6" customFormat="false" ht="12" hidden="false" customHeight="true" outlineLevel="0" collapsed="false">
      <c r="A6" s="4"/>
      <c r="B6" s="4"/>
      <c r="C6" s="4"/>
      <c r="D6" s="4"/>
      <c r="E6" s="4"/>
      <c r="F6" s="4"/>
      <c r="G6" s="4"/>
      <c r="H6" s="4"/>
    </row>
    <row r="7" customFormat="false" ht="12" hidden="false" customHeight="true" outlineLevel="0" collapsed="false">
      <c r="A7" s="4"/>
      <c r="B7" s="4"/>
      <c r="C7" s="4"/>
      <c r="D7" s="4"/>
      <c r="E7" s="4"/>
      <c r="F7" s="4"/>
      <c r="G7" s="4"/>
      <c r="H7" s="4"/>
    </row>
    <row r="8" customFormat="false" ht="42" hidden="false" customHeight="true" outlineLevel="0" collapsed="false">
      <c r="A8" s="6" t="s">
        <v>4</v>
      </c>
      <c r="B8" s="6" t="s">
        <v>64</v>
      </c>
      <c r="C8" s="6" t="s">
        <v>9</v>
      </c>
      <c r="D8" s="6" t="s">
        <v>65</v>
      </c>
      <c r="E8" s="6" t="s">
        <v>61</v>
      </c>
      <c r="F8" s="6" t="s">
        <v>62</v>
      </c>
      <c r="G8" s="6" t="s">
        <v>63</v>
      </c>
      <c r="H8" s="6" t="s">
        <v>66</v>
      </c>
    </row>
    <row r="9" customFormat="false" ht="22" hidden="false" customHeight="true" outlineLevel="0" collapsed="false">
      <c r="A9" s="7" t="s">
        <v>12</v>
      </c>
      <c r="B9" s="7" t="s">
        <v>67</v>
      </c>
      <c r="C9" s="9" t="n">
        <v>46287</v>
      </c>
      <c r="D9" s="7" t="s">
        <v>68</v>
      </c>
      <c r="E9" s="8" t="n">
        <v>9</v>
      </c>
      <c r="F9" s="8" t="n">
        <v>0.9</v>
      </c>
      <c r="G9" s="8" t="n">
        <f aca="false">E9-F9</f>
        <v>8.1</v>
      </c>
      <c r="H9" s="7" t="s">
        <v>69</v>
      </c>
    </row>
    <row r="10" customFormat="false" ht="22" hidden="false" customHeight="true" outlineLevel="0" collapsed="false">
      <c r="A10" s="10" t="s">
        <v>12</v>
      </c>
      <c r="B10" s="10" t="s">
        <v>70</v>
      </c>
      <c r="C10" s="12" t="n">
        <v>46287</v>
      </c>
      <c r="D10" s="10" t="s">
        <v>68</v>
      </c>
      <c r="E10" s="11" t="n">
        <v>9</v>
      </c>
      <c r="F10" s="11" t="n">
        <v>0.9</v>
      </c>
      <c r="G10" s="11" t="n">
        <f aca="false">E10-F10</f>
        <v>8.1</v>
      </c>
      <c r="H10" s="10" t="s">
        <v>69</v>
      </c>
    </row>
    <row r="11" customFormat="false" ht="22" hidden="false" customHeight="true" outlineLevel="0" collapsed="false">
      <c r="A11" s="7" t="s">
        <v>12</v>
      </c>
      <c r="B11" s="7" t="s">
        <v>71</v>
      </c>
      <c r="C11" s="9" t="n">
        <v>46287</v>
      </c>
      <c r="D11" s="7" t="s">
        <v>68</v>
      </c>
      <c r="E11" s="8" t="n">
        <v>4.8</v>
      </c>
      <c r="F11" s="8" t="n">
        <v>1.2</v>
      </c>
      <c r="G11" s="8" t="n">
        <f aca="false">E11-F11</f>
        <v>3.6</v>
      </c>
      <c r="H11" s="7" t="s">
        <v>72</v>
      </c>
    </row>
    <row r="12" customFormat="false" ht="22" hidden="false" customHeight="true" outlineLevel="0" collapsed="false">
      <c r="A12" s="10" t="s">
        <v>12</v>
      </c>
      <c r="B12" s="10" t="s">
        <v>73</v>
      </c>
      <c r="C12" s="12" t="n">
        <v>46287</v>
      </c>
      <c r="D12" s="10" t="s">
        <v>68</v>
      </c>
      <c r="E12" s="11" t="n">
        <v>4.8</v>
      </c>
      <c r="F12" s="11" t="n">
        <v>0</v>
      </c>
      <c r="G12" s="11" t="n">
        <f aca="false">E12-F12</f>
        <v>4.8</v>
      </c>
      <c r="H12" s="10" t="s">
        <v>74</v>
      </c>
    </row>
    <row r="13" customFormat="false" ht="34" hidden="false" customHeight="true" outlineLevel="0" collapsed="false">
      <c r="A13" s="7" t="s">
        <v>22</v>
      </c>
      <c r="B13" s="7" t="s">
        <v>67</v>
      </c>
      <c r="C13" s="9" t="n">
        <v>46287</v>
      </c>
      <c r="D13" s="7" t="s">
        <v>68</v>
      </c>
      <c r="E13" s="8" t="n">
        <v>6</v>
      </c>
      <c r="F13" s="8" t="n">
        <v>1</v>
      </c>
      <c r="G13" s="8" t="n">
        <f aca="false">E13-F13</f>
        <v>5</v>
      </c>
      <c r="H13" s="7" t="s">
        <v>75</v>
      </c>
    </row>
    <row r="14" customFormat="false" ht="22" hidden="false" customHeight="true" outlineLevel="0" collapsed="false">
      <c r="A14" s="10" t="s">
        <v>22</v>
      </c>
      <c r="B14" s="10" t="s">
        <v>70</v>
      </c>
      <c r="C14" s="12" t="n">
        <v>46287</v>
      </c>
      <c r="D14" s="10" t="s">
        <v>68</v>
      </c>
      <c r="E14" s="11" t="n">
        <v>6</v>
      </c>
      <c r="F14" s="11" t="n">
        <v>0</v>
      </c>
      <c r="G14" s="11" t="n">
        <f aca="false">E14-F13</f>
        <v>5</v>
      </c>
      <c r="H14" s="10" t="s">
        <v>74</v>
      </c>
    </row>
    <row r="15" customFormat="false" ht="22" hidden="false" customHeight="true" outlineLevel="0" collapsed="false">
      <c r="A15" s="7" t="s">
        <v>22</v>
      </c>
      <c r="B15" s="7" t="s">
        <v>71</v>
      </c>
      <c r="C15" s="9" t="n">
        <v>46287</v>
      </c>
      <c r="D15" s="7" t="s">
        <v>68</v>
      </c>
      <c r="E15" s="8" t="n">
        <v>4.8</v>
      </c>
      <c r="F15" s="8" t="n">
        <v>1</v>
      </c>
      <c r="G15" s="8" t="n">
        <f aca="false">E15-F15</f>
        <v>3.8</v>
      </c>
      <c r="H15" s="7" t="s">
        <v>76</v>
      </c>
    </row>
    <row r="16" customFormat="false" ht="22" hidden="false" customHeight="true" outlineLevel="0" collapsed="false">
      <c r="A16" s="10" t="s">
        <v>22</v>
      </c>
      <c r="B16" s="10" t="s">
        <v>73</v>
      </c>
      <c r="C16" s="12" t="n">
        <v>46287</v>
      </c>
      <c r="D16" s="10" t="s">
        <v>68</v>
      </c>
      <c r="E16" s="11" t="n">
        <v>4.8</v>
      </c>
      <c r="F16" s="11" t="n">
        <v>0</v>
      </c>
      <c r="G16" s="11" t="n">
        <f aca="false">E16-F16</f>
        <v>4.8</v>
      </c>
      <c r="H16" s="10" t="s">
        <v>74</v>
      </c>
    </row>
    <row r="17" customFormat="false" ht="22" hidden="false" customHeight="true" outlineLevel="0" collapsed="false">
      <c r="A17" s="7" t="s">
        <v>23</v>
      </c>
      <c r="B17" s="7" t="s">
        <v>67</v>
      </c>
      <c r="C17" s="9" t="n">
        <v>46287</v>
      </c>
      <c r="D17" s="7" t="s">
        <v>68</v>
      </c>
      <c r="E17" s="8" t="n">
        <v>12</v>
      </c>
      <c r="F17" s="8" t="n">
        <v>2</v>
      </c>
      <c r="G17" s="8" t="n">
        <f aca="false">E17-F17</f>
        <v>10</v>
      </c>
      <c r="H17" s="7" t="s">
        <v>77</v>
      </c>
    </row>
    <row r="18" customFormat="false" ht="22" hidden="false" customHeight="true" outlineLevel="0" collapsed="false">
      <c r="A18" s="10" t="s">
        <v>23</v>
      </c>
      <c r="B18" s="10" t="s">
        <v>70</v>
      </c>
      <c r="C18" s="12" t="n">
        <v>46287</v>
      </c>
      <c r="D18" s="10" t="s">
        <v>68</v>
      </c>
      <c r="E18" s="11" t="n">
        <v>12</v>
      </c>
      <c r="F18" s="11" t="n">
        <v>1</v>
      </c>
      <c r="G18" s="11" t="n">
        <f aca="false">E18-F18</f>
        <v>11</v>
      </c>
      <c r="H18" s="10" t="s">
        <v>78</v>
      </c>
    </row>
    <row r="19" customFormat="false" ht="22" hidden="false" customHeight="true" outlineLevel="0" collapsed="false">
      <c r="A19" s="7" t="s">
        <v>23</v>
      </c>
      <c r="B19" s="7" t="s">
        <v>71</v>
      </c>
      <c r="C19" s="9" t="n">
        <v>46287</v>
      </c>
      <c r="D19" s="7" t="s">
        <v>68</v>
      </c>
      <c r="E19" s="8" t="n">
        <v>2</v>
      </c>
      <c r="F19" s="8" t="n">
        <v>1</v>
      </c>
      <c r="G19" s="8" t="n">
        <f aca="false">E19-F19</f>
        <v>1</v>
      </c>
      <c r="H19" s="7" t="s">
        <v>79</v>
      </c>
    </row>
    <row r="20" customFormat="false" ht="22" hidden="false" customHeight="true" outlineLevel="0" collapsed="false">
      <c r="A20" s="10" t="s">
        <v>23</v>
      </c>
      <c r="B20" s="10" t="s">
        <v>73</v>
      </c>
      <c r="C20" s="12" t="n">
        <v>46287</v>
      </c>
      <c r="D20" s="10" t="s">
        <v>68</v>
      </c>
      <c r="E20" s="11" t="n">
        <v>2</v>
      </c>
      <c r="F20" s="11" t="n">
        <v>1</v>
      </c>
      <c r="G20" s="11" t="n">
        <f aca="false">E20-F20</f>
        <v>1</v>
      </c>
      <c r="H20" s="10" t="s">
        <v>80</v>
      </c>
    </row>
  </sheetData>
  <printOptions headings="false" gridLines="false" gridLinesSet="true" horizontalCentered="false" verticalCentered="false"/>
  <pageMargins left="0.3" right="0.3" top="0.4" bottom="0.4" header="0.511811023622047" footer="0.1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&amp;L&amp;"Calibri"&amp;11&amp;A&amp;C&amp;"Calibri"&amp;11Seite &amp;P von &amp;N&amp;R&amp;"Calibri"&amp;11 2026-09-22</oddFooter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C4C2"/>
    <pageSetUpPr fitToPage="true"/>
  </sheetPr>
  <dimension ref="A1:H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15"/>
    <col collapsed="false" customWidth="true" hidden="false" outlineLevel="0" max="4" min="4" style="0" width="24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36"/>
    <col collapsed="false" customWidth="true" hidden="false" outlineLevel="0" max="8" min="8" style="0" width="34"/>
  </cols>
  <sheetData>
    <row r="1" customFormat="false" ht="34" hidden="false" customHeight="true" outlineLevel="0" collapsed="false">
      <c r="A1" s="1" t="s">
        <v>81</v>
      </c>
      <c r="B1" s="1"/>
      <c r="C1" s="1"/>
      <c r="D1" s="1"/>
      <c r="E1" s="1"/>
      <c r="F1" s="1"/>
      <c r="G1" s="1"/>
      <c r="H1" s="1"/>
    </row>
    <row r="2" customFormat="false" ht="29" hidden="false" customHeight="true" outlineLevel="0" collapsed="false">
      <c r="A2" s="2" t="s">
        <v>82</v>
      </c>
      <c r="B2" s="2"/>
      <c r="C2" s="2"/>
      <c r="D2" s="2"/>
      <c r="E2" s="2"/>
      <c r="F2" s="2"/>
      <c r="G2" s="2"/>
      <c r="H2" s="2"/>
    </row>
    <row r="3" customFormat="false" ht="29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34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</row>
    <row r="5" customFormat="false" ht="29" hidden="false" customHeight="true" outlineLevel="0" collapsed="false">
      <c r="A5" s="5" t="n">
        <v>26</v>
      </c>
      <c r="B5" s="5"/>
      <c r="C5" s="5"/>
      <c r="D5" s="5"/>
      <c r="E5" s="5"/>
      <c r="F5" s="5"/>
      <c r="G5" s="5"/>
      <c r="H5" s="5"/>
    </row>
    <row r="6" customFormat="false" ht="12" hidden="false" customHeight="true" outlineLevel="0" collapsed="false">
      <c r="A6" s="4"/>
      <c r="B6" s="4"/>
      <c r="C6" s="4"/>
      <c r="D6" s="4"/>
      <c r="E6" s="4"/>
      <c r="F6" s="4"/>
      <c r="G6" s="4"/>
      <c r="H6" s="4"/>
    </row>
    <row r="7" customFormat="false" ht="12" hidden="false" customHeight="true" outlineLevel="0" collapsed="false">
      <c r="A7" s="4"/>
      <c r="B7" s="4"/>
      <c r="C7" s="4"/>
      <c r="D7" s="4"/>
      <c r="E7" s="4"/>
      <c r="F7" s="4"/>
      <c r="G7" s="4"/>
      <c r="H7" s="4"/>
    </row>
    <row r="8" customFormat="false" ht="42" hidden="false" customHeight="true" outlineLevel="0" collapsed="false">
      <c r="A8" s="6" t="s">
        <v>83</v>
      </c>
      <c r="B8" s="6" t="s">
        <v>84</v>
      </c>
      <c r="C8" s="6" t="s">
        <v>85</v>
      </c>
      <c r="D8" s="6" t="s">
        <v>86</v>
      </c>
      <c r="E8" s="6" t="s">
        <v>87</v>
      </c>
      <c r="F8" s="6" t="s">
        <v>8</v>
      </c>
      <c r="G8" s="6" t="s">
        <v>88</v>
      </c>
      <c r="H8" s="6" t="s">
        <v>10</v>
      </c>
    </row>
    <row r="9" customFormat="false" ht="22" hidden="false" customHeight="true" outlineLevel="0" collapsed="false">
      <c r="A9" s="9" t="n">
        <v>46267</v>
      </c>
      <c r="B9" s="7" t="s">
        <v>89</v>
      </c>
      <c r="C9" s="7" t="s">
        <v>90</v>
      </c>
      <c r="D9" s="7" t="s">
        <v>91</v>
      </c>
      <c r="E9" s="8" t="n">
        <v>100</v>
      </c>
      <c r="F9" s="7" t="s">
        <v>47</v>
      </c>
      <c r="G9" s="7" t="s">
        <v>92</v>
      </c>
      <c r="H9" s="7" t="s">
        <v>93</v>
      </c>
    </row>
    <row r="10" customFormat="false" ht="22" hidden="false" customHeight="true" outlineLevel="0" collapsed="false">
      <c r="A10" s="12" t="n">
        <v>46267</v>
      </c>
      <c r="B10" s="10" t="s">
        <v>89</v>
      </c>
      <c r="C10" s="10" t="s">
        <v>94</v>
      </c>
      <c r="D10" s="10" t="s">
        <v>95</v>
      </c>
      <c r="E10" s="11" t="n">
        <v>96</v>
      </c>
      <c r="F10" s="10" t="s">
        <v>20</v>
      </c>
      <c r="G10" s="10" t="s">
        <v>96</v>
      </c>
      <c r="H10" s="10" t="s">
        <v>93</v>
      </c>
    </row>
    <row r="11" customFormat="false" ht="34" hidden="false" customHeight="true" outlineLevel="0" collapsed="false">
      <c r="A11" s="9" t="n">
        <v>46267</v>
      </c>
      <c r="B11" s="7" t="s">
        <v>89</v>
      </c>
      <c r="C11" s="7" t="s">
        <v>97</v>
      </c>
      <c r="D11" s="7" t="s">
        <v>98</v>
      </c>
      <c r="E11" s="8" t="n">
        <v>0.9</v>
      </c>
      <c r="F11" s="7" t="s">
        <v>99</v>
      </c>
      <c r="G11" s="7" t="s">
        <v>100</v>
      </c>
      <c r="H11" s="7" t="s">
        <v>93</v>
      </c>
    </row>
    <row r="12" customFormat="false" ht="34" hidden="false" customHeight="true" outlineLevel="0" collapsed="false">
      <c r="A12" s="12" t="n">
        <v>46279</v>
      </c>
      <c r="B12" s="10" t="s">
        <v>101</v>
      </c>
      <c r="C12" s="10" t="s">
        <v>102</v>
      </c>
      <c r="D12" s="10" t="s">
        <v>103</v>
      </c>
      <c r="E12" s="11" t="n">
        <v>1</v>
      </c>
      <c r="F12" s="10" t="s">
        <v>104</v>
      </c>
      <c r="G12" s="10" t="s">
        <v>105</v>
      </c>
      <c r="H12" s="10" t="s">
        <v>106</v>
      </c>
    </row>
    <row r="13" customFormat="false" ht="22" hidden="false" customHeight="true" outlineLevel="0" collapsed="false">
      <c r="A13" s="9" t="n">
        <v>46279</v>
      </c>
      <c r="B13" s="7" t="s">
        <v>101</v>
      </c>
      <c r="C13" s="7" t="s">
        <v>107</v>
      </c>
      <c r="D13" s="7" t="s">
        <v>108</v>
      </c>
      <c r="E13" s="8" t="n">
        <v>14.88</v>
      </c>
      <c r="F13" s="7" t="s">
        <v>20</v>
      </c>
      <c r="G13" s="7" t="s">
        <v>109</v>
      </c>
      <c r="H13" s="7" t="s">
        <v>106</v>
      </c>
    </row>
    <row r="14" customFormat="false" ht="22" hidden="false" customHeight="true" outlineLevel="0" collapsed="false">
      <c r="A14" s="12" t="n">
        <v>46279</v>
      </c>
      <c r="B14" s="10" t="s">
        <v>101</v>
      </c>
      <c r="C14" s="10" t="s">
        <v>110</v>
      </c>
      <c r="D14" s="10" t="s">
        <v>111</v>
      </c>
      <c r="E14" s="11" t="n">
        <v>29.76</v>
      </c>
      <c r="F14" s="10" t="s">
        <v>20</v>
      </c>
      <c r="G14" s="10" t="s">
        <v>112</v>
      </c>
      <c r="H14" s="10" t="s">
        <v>106</v>
      </c>
    </row>
    <row r="15" customFormat="false" ht="34" hidden="false" customHeight="true" outlineLevel="0" collapsed="false">
      <c r="A15" s="9" t="n">
        <v>46279</v>
      </c>
      <c r="B15" s="7" t="s">
        <v>101</v>
      </c>
      <c r="C15" s="7" t="s">
        <v>113</v>
      </c>
      <c r="D15" s="7" t="s">
        <v>114</v>
      </c>
      <c r="E15" s="8" t="n">
        <v>105.6</v>
      </c>
      <c r="F15" s="7" t="s">
        <v>20</v>
      </c>
      <c r="G15" s="7" t="s">
        <v>115</v>
      </c>
      <c r="H15" s="7" t="s">
        <v>106</v>
      </c>
    </row>
    <row r="16" customFormat="false" ht="22" hidden="false" customHeight="true" outlineLevel="0" collapsed="false">
      <c r="A16" s="12" t="n">
        <v>46279</v>
      </c>
      <c r="B16" s="10" t="s">
        <v>101</v>
      </c>
      <c r="C16" s="10" t="s">
        <v>116</v>
      </c>
      <c r="D16" s="10" t="s">
        <v>117</v>
      </c>
      <c r="E16" s="11" t="n">
        <v>67.2</v>
      </c>
      <c r="F16" s="10" t="s">
        <v>15</v>
      </c>
      <c r="G16" s="10" t="s">
        <v>118</v>
      </c>
      <c r="H16" s="10" t="s">
        <v>106</v>
      </c>
    </row>
    <row r="17" customFormat="false" ht="22" hidden="false" customHeight="true" outlineLevel="0" collapsed="false">
      <c r="A17" s="9" t="n">
        <v>46279</v>
      </c>
      <c r="B17" s="7" t="s">
        <v>101</v>
      </c>
      <c r="C17" s="7" t="s">
        <v>119</v>
      </c>
      <c r="D17" s="7" t="s">
        <v>120</v>
      </c>
      <c r="E17" s="8" t="n">
        <v>29.76</v>
      </c>
      <c r="F17" s="7" t="s">
        <v>20</v>
      </c>
      <c r="G17" s="7" t="s">
        <v>121</v>
      </c>
      <c r="H17" s="7" t="s">
        <v>106</v>
      </c>
    </row>
    <row r="18" customFormat="false" ht="22" hidden="false" customHeight="true" outlineLevel="0" collapsed="false">
      <c r="A18" s="12" t="n">
        <v>46279</v>
      </c>
      <c r="B18" s="10" t="s">
        <v>101</v>
      </c>
      <c r="C18" s="10" t="s">
        <v>122</v>
      </c>
      <c r="D18" s="10" t="s">
        <v>123</v>
      </c>
      <c r="E18" s="11" t="n">
        <v>141.5</v>
      </c>
      <c r="F18" s="10" t="s">
        <v>20</v>
      </c>
      <c r="G18" s="10" t="s">
        <v>124</v>
      </c>
      <c r="H18" s="10" t="s">
        <v>106</v>
      </c>
    </row>
    <row r="19" customFormat="false" ht="34" hidden="false" customHeight="true" outlineLevel="0" collapsed="false">
      <c r="A19" s="9" t="n">
        <v>46279</v>
      </c>
      <c r="B19" s="7" t="s">
        <v>101</v>
      </c>
      <c r="C19" s="7" t="s">
        <v>125</v>
      </c>
      <c r="D19" s="7" t="s">
        <v>126</v>
      </c>
      <c r="E19" s="8" t="n">
        <v>72</v>
      </c>
      <c r="F19" s="7" t="s">
        <v>20</v>
      </c>
      <c r="G19" s="7" t="s">
        <v>127</v>
      </c>
      <c r="H19" s="7" t="s">
        <v>106</v>
      </c>
    </row>
    <row r="20" customFormat="false" ht="22" hidden="false" customHeight="true" outlineLevel="0" collapsed="false">
      <c r="A20" s="12" t="n">
        <v>46279</v>
      </c>
      <c r="B20" s="10" t="s">
        <v>101</v>
      </c>
      <c r="C20" s="10" t="s">
        <v>128</v>
      </c>
      <c r="D20" s="10" t="s">
        <v>98</v>
      </c>
      <c r="E20" s="11" t="n">
        <v>1</v>
      </c>
      <c r="F20" s="10" t="s">
        <v>129</v>
      </c>
      <c r="G20" s="10" t="s">
        <v>130</v>
      </c>
      <c r="H20" s="10" t="s">
        <v>106</v>
      </c>
    </row>
    <row r="21" customFormat="false" ht="22" hidden="false" customHeight="true" outlineLevel="0" collapsed="false">
      <c r="A21" s="9" t="n">
        <v>46279</v>
      </c>
      <c r="B21" s="7" t="s">
        <v>101</v>
      </c>
      <c r="C21" s="7" t="s">
        <v>131</v>
      </c>
      <c r="D21" s="7" t="s">
        <v>132</v>
      </c>
      <c r="E21" s="8" t="n">
        <v>24</v>
      </c>
      <c r="F21" s="7" t="s">
        <v>20</v>
      </c>
      <c r="G21" s="7" t="s">
        <v>133</v>
      </c>
      <c r="H21" s="7" t="s">
        <v>106</v>
      </c>
    </row>
    <row r="22" customFormat="false" ht="22" hidden="false" customHeight="true" outlineLevel="0" collapsed="false">
      <c r="A22" s="12" t="n">
        <v>46279</v>
      </c>
      <c r="B22" s="10" t="s">
        <v>101</v>
      </c>
      <c r="C22" s="10" t="s">
        <v>134</v>
      </c>
      <c r="D22" s="10" t="s">
        <v>135</v>
      </c>
      <c r="E22" s="11" t="n">
        <v>1</v>
      </c>
      <c r="F22" s="10" t="s">
        <v>104</v>
      </c>
      <c r="G22" s="10" t="s">
        <v>136</v>
      </c>
      <c r="H22" s="10" t="s">
        <v>106</v>
      </c>
    </row>
    <row r="23" customFormat="false" ht="22" hidden="false" customHeight="true" outlineLevel="0" collapsed="false">
      <c r="A23" s="9" t="n">
        <v>46276</v>
      </c>
      <c r="B23" s="7" t="s">
        <v>137</v>
      </c>
      <c r="C23" s="7" t="s">
        <v>90</v>
      </c>
      <c r="D23" s="7" t="s">
        <v>91</v>
      </c>
      <c r="E23" s="8" t="n">
        <v>125</v>
      </c>
      <c r="F23" s="7" t="s">
        <v>47</v>
      </c>
      <c r="G23" s="7" t="s">
        <v>138</v>
      </c>
      <c r="H23" s="7" t="s">
        <v>57</v>
      </c>
    </row>
    <row r="24" customFormat="false" ht="22" hidden="false" customHeight="true" outlineLevel="0" collapsed="false">
      <c r="A24" s="12" t="n">
        <v>46276</v>
      </c>
      <c r="B24" s="10" t="s">
        <v>137</v>
      </c>
      <c r="C24" s="10" t="s">
        <v>90</v>
      </c>
      <c r="D24" s="10" t="s">
        <v>139</v>
      </c>
      <c r="E24" s="11" t="n">
        <v>2</v>
      </c>
      <c r="F24" s="10" t="s">
        <v>20</v>
      </c>
      <c r="G24" s="10" t="s">
        <v>140</v>
      </c>
      <c r="H24" s="10" t="s">
        <v>57</v>
      </c>
    </row>
    <row r="25" customFormat="false" ht="34" hidden="false" customHeight="true" outlineLevel="0" collapsed="false">
      <c r="A25" s="9" t="n">
        <v>46276</v>
      </c>
      <c r="B25" s="7" t="s">
        <v>137</v>
      </c>
      <c r="C25" s="7" t="s">
        <v>94</v>
      </c>
      <c r="D25" s="7" t="s">
        <v>95</v>
      </c>
      <c r="E25" s="8" t="n">
        <v>96</v>
      </c>
      <c r="F25" s="7" t="s">
        <v>20</v>
      </c>
      <c r="G25" s="7" t="s">
        <v>141</v>
      </c>
      <c r="H25" s="7" t="s">
        <v>57</v>
      </c>
    </row>
    <row r="26" customFormat="false" ht="22" hidden="false" customHeight="true" outlineLevel="0" collapsed="false">
      <c r="A26" s="12" t="n">
        <v>46276</v>
      </c>
      <c r="B26" s="10" t="s">
        <v>137</v>
      </c>
      <c r="C26" s="10" t="s">
        <v>94</v>
      </c>
      <c r="D26" s="10" t="s">
        <v>142</v>
      </c>
      <c r="E26" s="11" t="n">
        <v>10</v>
      </c>
      <c r="F26" s="10" t="s">
        <v>143</v>
      </c>
      <c r="G26" s="10" t="s">
        <v>144</v>
      </c>
      <c r="H26" s="10" t="s">
        <v>57</v>
      </c>
    </row>
    <row r="27" customFormat="false" ht="22" hidden="false" customHeight="true" outlineLevel="0" collapsed="false">
      <c r="A27" s="9" t="n">
        <v>46276</v>
      </c>
      <c r="B27" s="7" t="s">
        <v>137</v>
      </c>
      <c r="C27" s="7" t="s">
        <v>94</v>
      </c>
      <c r="D27" s="7" t="s">
        <v>145</v>
      </c>
      <c r="E27" s="8" t="n">
        <v>2</v>
      </c>
      <c r="F27" s="7" t="s">
        <v>129</v>
      </c>
      <c r="G27" s="7" t="s">
        <v>146</v>
      </c>
      <c r="H27" s="7" t="s">
        <v>57</v>
      </c>
    </row>
    <row r="28" customFormat="false" ht="34" hidden="false" customHeight="true" outlineLevel="0" collapsed="false">
      <c r="A28" s="12" t="n">
        <v>46276</v>
      </c>
      <c r="B28" s="10" t="s">
        <v>137</v>
      </c>
      <c r="C28" s="10" t="s">
        <v>97</v>
      </c>
      <c r="D28" s="10" t="s">
        <v>98</v>
      </c>
      <c r="E28" s="11" t="n">
        <v>1</v>
      </c>
      <c r="F28" s="10" t="s">
        <v>99</v>
      </c>
      <c r="G28" s="10" t="s">
        <v>147</v>
      </c>
      <c r="H28" s="10" t="s">
        <v>57</v>
      </c>
    </row>
    <row r="29" customFormat="false" ht="22" hidden="false" customHeight="true" outlineLevel="0" collapsed="false">
      <c r="A29" s="9" t="n">
        <v>46276</v>
      </c>
      <c r="B29" s="7" t="s">
        <v>137</v>
      </c>
      <c r="C29" s="7" t="s">
        <v>148</v>
      </c>
      <c r="D29" s="7" t="s">
        <v>149</v>
      </c>
      <c r="E29" s="8" t="n">
        <v>2</v>
      </c>
      <c r="F29" s="7" t="s">
        <v>129</v>
      </c>
      <c r="G29" s="7" t="s">
        <v>150</v>
      </c>
      <c r="H29" s="7" t="s">
        <v>57</v>
      </c>
    </row>
    <row r="30" customFormat="false" ht="22" hidden="false" customHeight="true" outlineLevel="0" collapsed="false">
      <c r="A30" s="12" t="n">
        <v>46276</v>
      </c>
      <c r="B30" s="10" t="s">
        <v>137</v>
      </c>
      <c r="C30" s="10" t="s">
        <v>148</v>
      </c>
      <c r="D30" s="10" t="s">
        <v>132</v>
      </c>
      <c r="E30" s="11" t="n">
        <v>24</v>
      </c>
      <c r="F30" s="10" t="s">
        <v>20</v>
      </c>
      <c r="G30" s="10" t="s">
        <v>151</v>
      </c>
      <c r="H30" s="10" t="s">
        <v>57</v>
      </c>
    </row>
    <row r="31" customFormat="false" ht="22" hidden="false" customHeight="true" outlineLevel="0" collapsed="false">
      <c r="A31" s="9" t="n">
        <v>46276</v>
      </c>
      <c r="B31" s="7" t="s">
        <v>137</v>
      </c>
      <c r="C31" s="7" t="s">
        <v>148</v>
      </c>
      <c r="D31" s="7" t="s">
        <v>152</v>
      </c>
      <c r="E31" s="8" t="n">
        <v>72</v>
      </c>
      <c r="F31" s="7" t="s">
        <v>20</v>
      </c>
      <c r="G31" s="7" t="s">
        <v>153</v>
      </c>
      <c r="H31" s="7" t="s">
        <v>57</v>
      </c>
    </row>
    <row r="32" customFormat="false" ht="22" hidden="false" customHeight="true" outlineLevel="0" collapsed="false">
      <c r="A32" s="12" t="n">
        <v>46286</v>
      </c>
      <c r="B32" s="10" t="s">
        <v>154</v>
      </c>
      <c r="C32" s="10" t="s">
        <v>90</v>
      </c>
      <c r="D32" s="10" t="s">
        <v>155</v>
      </c>
      <c r="E32" s="11" t="n">
        <v>2</v>
      </c>
      <c r="F32" s="10" t="s">
        <v>15</v>
      </c>
      <c r="G32" s="10" t="s">
        <v>156</v>
      </c>
      <c r="H32" s="10" t="s">
        <v>157</v>
      </c>
    </row>
    <row r="33" customFormat="false" ht="22" hidden="false" customHeight="true" outlineLevel="0" collapsed="false">
      <c r="A33" s="9" t="n">
        <v>46286</v>
      </c>
      <c r="B33" s="7" t="s">
        <v>154</v>
      </c>
      <c r="C33" s="7" t="s">
        <v>94</v>
      </c>
      <c r="D33" s="7" t="s">
        <v>158</v>
      </c>
      <c r="E33" s="8" t="n">
        <v>100</v>
      </c>
      <c r="F33" s="7" t="s">
        <v>159</v>
      </c>
      <c r="G33" s="7" t="s">
        <v>160</v>
      </c>
      <c r="H33" s="7" t="s">
        <v>157</v>
      </c>
    </row>
    <row r="34" customFormat="false" ht="34" hidden="false" customHeight="true" outlineLevel="0" collapsed="false">
      <c r="A34" s="12" t="n">
        <v>46287</v>
      </c>
      <c r="B34" s="10" t="s">
        <v>161</v>
      </c>
      <c r="C34" s="10" t="s">
        <v>162</v>
      </c>
      <c r="D34" s="10" t="s">
        <v>163</v>
      </c>
      <c r="E34" s="11" t="n">
        <v>3</v>
      </c>
      <c r="F34" s="10" t="s">
        <v>129</v>
      </c>
      <c r="G34" s="10" t="s">
        <v>164</v>
      </c>
      <c r="H34" s="10" t="s">
        <v>165</v>
      </c>
    </row>
  </sheetData>
  <printOptions headings="false" gridLines="false" gridLinesSet="true" horizontalCentered="false" verticalCentered="false"/>
  <pageMargins left="0.3" right="0.3" top="0.4" bottom="0.4" header="0.511811023622047" footer="0.1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&amp;L&amp;"Calibri"&amp;11&amp;A&amp;C&amp;"Calibri"&amp;11Seite &amp;P von &amp;N&amp;R&amp;"Calibri"&amp;11 2026-09-22</oddFooter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