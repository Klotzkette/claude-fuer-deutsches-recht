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626d05a33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gleich" sheetId="1" r:id="Rae1123a00279407d"/>
    <x:sheet xmlns:r="http://schemas.openxmlformats.org/officeDocument/2006/relationships" name="Zahlungen" sheetId="2" r:id="R6ba3cf0901fe4763"/>
    <x:sheet xmlns:r="http://schemas.openxmlformats.org/officeDocument/2006/relationships" name="Ausgleichsmodell" sheetId="3" r:id="Rcbd0dc1a8f564997"/>
    <x:sheet xmlns:r="http://schemas.openxmlformats.org/officeDocument/2006/relationships" name="Bedarfsansatz" sheetId="4" r:id="Rbb50ad62cc22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–&quot;"/>
    <x:numFmt numFmtId="201" formatCode="#,##0.00;(#,##0.00);0.00"/>
    <x:numFmt numFmtId="202" formatCode="dd.mm.yyyy"/>
    <x:numFmt numFmtId="203" formatCode="0"/>
    <x:numFmt numFmtId="204" formatCode="0.00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FF4D0"/>
      </x:patternFill>
    </x:fill>
  </x:fills>
  <x:borders count="3">
    <x:border/>
    <x:border>
      <x:bottom style="thin">
        <x:color rgb="FFBBBBBB"/>
      </x:bottom>
    </x:border>
    <x:border>
      <x:top style="thin">
        <x:color rgb="FF88888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3" fontId="5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0e298ed3243a4" /><Relationship Type="http://schemas.openxmlformats.org/officeDocument/2006/relationships/theme" Target="/xl/theme/theme1.xml" Id="R0b647a83f8bc4d46" /><Relationship Type="http://schemas.openxmlformats.org/officeDocument/2006/relationships/sharedStrings" Target="/xl/sharedStrings.xml" Id="Rbdfb799cd93f439c" /><Relationship Type="http://schemas.openxmlformats.org/officeDocument/2006/relationships/worksheet" Target="/xl/worksheets/sheet1.xml" Id="Rae1123a00279407d" /><Relationship Type="http://schemas.openxmlformats.org/officeDocument/2006/relationships/worksheet" Target="/xl/worksheets/sheet2.xml" Id="R6ba3cf0901fe4763" /><Relationship Type="http://schemas.openxmlformats.org/officeDocument/2006/relationships/worksheet" Target="/xl/worksheets/sheet3.xml" Id="Rcbd0dc1a8f564997" /><Relationship Type="http://schemas.openxmlformats.org/officeDocument/2006/relationships/worksheet" Target="/xl/worksheets/sheet4.xml" Id="Rbb50ad62cc22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3" hidden="0" customWidth="1"/>
    <x:col min="5" max="5" width="48" hidden="0" customWidth="1"/>
  </x:cols>
  <x:sheetData>
    <x:row r="1" ht="8" customHeight="1">
      <x:c r="A1" s="2"/>
      <x:c r="B1" s="4"/>
      <x:c r="C1" s="4"/>
      <x:c r="D1" s="2"/>
      <x:c r="E1" s="2"/>
    </x:row>
    <x:row r="2" ht="22" customHeight="1">
      <x:c r="A2" s="5" t="str">
        <x:v>Vergleich und Anrechnung</x:v>
      </x:c>
      <x:c r="B2" s="4"/>
      <x:c r="C2" s="4"/>
      <x:c r="D2" s="2"/>
      <x:c r="E2" s="2"/>
    </x:row>
    <x:row r="3" ht="8" customHeight="1">
      <x:c r="A3" s="6"/>
      <x:c r="B3" s="7"/>
      <x:c r="C3" s="7"/>
      <x:c r="D3" s="6"/>
      <x:c r="E3" s="6"/>
    </x:row>
    <x:row r="4" ht="22" customHeight="1">
      <x:c r="A4" s="2" t="str">
        <x:v>Nora Winter · FK-2016-0214 · Stand 05.10.2026 · EUR</x:v>
      </x:c>
      <x:c r="B4" s="4"/>
      <x:c r="C4" s="4"/>
      <x:c r="D4" s="2"/>
      <x:c r="E4" s="2"/>
    </x:row>
    <x:row r="5" ht="8" customHeight="1">
      <x:c r="A5" s="2"/>
      <x:c r="B5" s="4"/>
      <x:c r="C5" s="4"/>
      <x:c r="D5" s="2"/>
      <x:c r="E5" s="2"/>
    </x:row>
    <x:row r="6" ht="30" customHeight="1">
      <x:c r="A6" s="15" t="str">
        <x:v>Position</x:v>
      </x:c>
      <x:c r="B6" s="16" t="str">
        <x:v>Vereinbart</x:v>
      </x:c>
      <x:c r="C6" s="16" t="str">
        <x:v>Vorschüsse</x:v>
      </x:c>
      <x:c r="D6" s="2"/>
      <x:c r="E6" s="8"/>
    </x:row>
    <x:row r="7" ht="22" customHeight="1">
      <x:c r="A7" s="2" t="str">
        <x:v>Schmerzensgeld</x:v>
      </x:c>
      <x:c r="B7" s="17" t="n">
        <x:v>900000</x:v>
      </x:c>
      <x:c r="C7" s="17" t="n">
        <x:v>300000</x:v>
      </x:c>
      <x:c r="D7" s="2"/>
      <x:c r="E7" s="8" t="str">
        <x:v>11 Teilvergleich, Nummer 1 und 3</x:v>
      </x:c>
    </x:row>
    <x:row r="8" ht="22" customHeight="1">
      <x:c r="A8" s="2" t="str">
        <x:v>Vergangener Mehrbedarf</x:v>
      </x:c>
      <x:c r="B8" s="17" t="n">
        <x:v>800000</x:v>
      </x:c>
      <x:c r="C8" s="17" t="n">
        <x:v>800000</x:v>
      </x:c>
      <x:c r="D8" s="2"/>
      <x:c r="E8" s="8" t="str">
        <x:v>Bis 30.09.2026; Nummer 1 und 3</x:v>
      </x:c>
    </x:row>
    <x:row r="9" ht="22" customHeight="1">
      <x:c r="A9" s="2" t="str">
        <x:v>Künftige Pflege und Assistenz</x:v>
      </x:c>
      <x:c r="B9" s="17" t="n">
        <x:v>8500000</x:v>
      </x:c>
      <x:c r="C9" s="17" t="n">
        <x:v>0</x:v>
      </x:c>
      <x:c r="D9" s="2"/>
      <x:c r="E9" s="8" t="str">
        <x:v>Ab 01.10.2026; Kapitalbetrag</x:v>
      </x:c>
    </x:row>
    <x:row r="10" ht="22" customHeight="1">
      <x:c r="A10" s="2" t="str">
        <x:v>Wohn- und Hilfsmittelmehrbedarf</x:v>
      </x:c>
      <x:c r="B10" s="17" t="n">
        <x:v>750000</x:v>
      </x:c>
      <x:c r="C10" s="17" t="n">
        <x:v>100000</x:v>
      </x:c>
      <x:c r="D10" s="2"/>
      <x:c r="E10" s="8" t="str">
        <x:v>180.000 EUR Umbau darin enthalten</x:v>
      </x:c>
    </x:row>
    <x:row r="11" ht="22" customHeight="1">
      <x:c r="A11" s="2" t="str">
        <x:v>Künftiger Erwerbsschaden</x:v>
      </x:c>
      <x:c r="B11" s="17" t="n">
        <x:v>2250000</x:v>
      </x:c>
      <x:c r="C11" s="17" t="n">
        <x:v>0</x:v>
      </x:c>
      <x:c r="D11" s="2"/>
      <x:c r="E11" s="8" t="str">
        <x:v>Vergleichswert; kein sicherer Berufsweg</x:v>
      </x:c>
    </x:row>
    <x:row r="12" ht="8" customHeight="1">
      <x:c r="A12" s="2"/>
      <x:c r="B12" s="4"/>
      <x:c r="C12" s="4"/>
      <x:c r="D12" s="2"/>
      <x:c r="E12" s="8"/>
    </x:row>
    <x:row r="13" ht="28" customHeight="1">
      <x:c r="A13" s="20" t="str">
        <x:v>Vereinbart / angerechnet</x:v>
      </x:c>
      <x:c r="B13" s="21" t="n">
        <x:f>SUM(B7:B11)</x:f>
        <x:v>13200000</x:v>
      </x:c>
      <x:c r="C13" s="21" t="n">
        <x:f>SUM(C7:C11)</x:f>
        <x:v>1200000</x:v>
      </x:c>
      <x:c r="D13" s="2"/>
      <x:c r="E13" s="8"/>
    </x:row>
    <x:row r="14" ht="8" customHeight="1">
      <x:c r="A14" s="2"/>
      <x:c r="B14" s="4"/>
      <x:c r="C14" s="4"/>
      <x:c r="D14" s="2"/>
      <x:c r="E14" s="8"/>
    </x:row>
    <x:row r="15" ht="28" customHeight="1">
      <x:c r="A15" s="20" t="str">
        <x:v>Verbleibende Schlusszahlung</x:v>
      </x:c>
      <x:c r="B15" s="21" t="n">
        <x:f>B13-C13</x:f>
        <x:v>12000000</x:v>
      </x:c>
      <x:c r="C15" s="21"/>
      <x:c r="D15" s="2"/>
      <x:c r="E15" s="8" t="str">
        <x:v>11 Teilvergleich, Nummer 3</x:v>
      </x:c>
    </x:row>
    <x:row r="16" ht="8" customHeight="1">
      <x:c r="A16" s="2"/>
      <x:c r="B16" s="4"/>
      <x:c r="C16" s="4"/>
      <x:c r="D16" s="2"/>
      <x:c r="E16" s="8"/>
    </x:row>
    <x:row r="17" ht="22" customHeight="1">
      <x:c r="A17" s="2" t="str">
        <x:v>Tatsächlich ausgezahlt</x:v>
      </x:c>
      <x:c r="B17" s="22" t="n">
        <x:f>'Zahlungen'!C13</x:f>
        <x:v>13200000</x:v>
      </x:c>
      <x:c r="C17" s="4"/>
      <x:c r="D17" s="2"/>
      <x:c r="E17" s="8"/>
    </x:row>
    <x:row r="18" ht="22" customHeight="1">
      <x:c r="A18" s="2" t="str">
        <x:v>Differenz zum Vergleich</x:v>
      </x:c>
      <x:c r="B18" s="23" t="n">
        <x:f>B13-B17</x:f>
        <x:v>0</x:v>
      </x:c>
      <x:c r="C18" s="4"/>
      <x:c r="D18" s="2"/>
      <x:c r="E18" s="8"/>
    </x:row>
    <x:row r="19" ht="8" customHeight="1">
      <x:c r="A19" s="2"/>
      <x:c r="B19" s="4"/>
      <x:c r="C19" s="4"/>
      <x:c r="D19" s="2"/>
      <x:c r="E19" s="8"/>
    </x:row>
    <x:row r="20" ht="8" customHeight="1">
      <x:c r="A20" s="2"/>
      <x:c r="B20" s="4"/>
      <x:c r="C20" s="4"/>
      <x:c r="D20" s="2"/>
      <x:c r="E20" s="8"/>
    </x:row>
    <x:row r="21" ht="22" customHeight="1">
      <x:c r="A21" s="2" t="str">
        <x:v>Schäden aus dem Vorbehalt sind nicht in diesen Beträgen enthalten.</x:v>
      </x:c>
      <x:c r="B21" s="4"/>
      <x:c r="C21" s="4"/>
      <x:c r="D21" s="2"/>
      <x:c r="E21" s="8"/>
    </x:row>
    <x:row r="22" ht="8" customHeight="1">
      <x:c r="A22" s="2"/>
      <x:c r="B22" s="4"/>
      <x:c r="C22" s="4"/>
      <x:c r="D22" s="2"/>
      <x:c r="E22" s="8"/>
    </x:row>
    <x:row r="23" ht="22" customHeight="1">
      <x:c r="A23" s="2" t="str">
        <x:v>Die Zuordnung der Vorschüsse folgt dem unterschriebenen Teilvergleich.</x:v>
      </x:c>
      <x:c r="B23" s="4"/>
      <x:c r="C23" s="4"/>
      <x:c r="D23" s="2"/>
      <x:c r="E23" s="8"/>
    </x:row>
    <x:row r="24" ht="8" customHeight="1">
      <x:c r="A24" s="2"/>
      <x:c r="B24" s="4"/>
      <x:c r="C24" s="4"/>
      <x:c r="D24" s="2"/>
      <x:c r="E24" s="8"/>
    </x:row>
    <x:row r="25" ht="8" customHeight="1">
      <x:c r="A25" s="2"/>
      <x:c r="B25" s="4"/>
      <x:c r="C25" s="4"/>
      <x:c r="D25" s="2"/>
      <x:c r="E25" s="8"/>
    </x:row>
    <x:row r="26" ht="8" customHeight="1">
      <x:c r="A26" s="2"/>
      <x:c r="B26" s="4"/>
      <x:c r="C26" s="4"/>
      <x:c r="D26" s="2"/>
      <x:c r="E26" s="8"/>
    </x:row>
    <x:row r="27" ht="8" customHeight="1">
      <x:c r="A27" s="2"/>
      <x:c r="B27" s="4"/>
      <x:c r="C27" s="4"/>
      <x:c r="D27" s="2"/>
      <x:c r="E27" s="8"/>
    </x:row>
    <x:row r="28" ht="8" customHeight="1">
      <x:c r="A28" s="2"/>
      <x:c r="B28" s="4"/>
      <x:c r="C28" s="4"/>
      <x:c r="D28" s="2"/>
      <x:c r="E28" s="8"/>
    </x:row>
    <x:row r="29" ht="8" customHeight="1">
      <x:c r="A29" s="2"/>
      <x:c r="B29" s="4"/>
      <x:c r="C29" s="4"/>
      <x:c r="D29" s="2"/>
      <x:c r="E29" s="8"/>
    </x:row>
    <x:row r="30" ht="8" customHeight="1">
      <x:c r="A30" s="2"/>
      <x:c r="B30" s="4"/>
      <x:c r="C30" s="4"/>
      <x:c r="D30" s="2"/>
      <x:c r="E30" s="8"/>
    </x:row>
  </x:sheetData>
  <x:conditionalFormatting sqref="B18:B18">
    <x:cfRule type="cellIs" dxfId="0" priority="1" operator="notEqual">
      <x:formula>0</x:formula>
    </x:cfRule>
  </x:conditionalFormatting>
  <x:pageMargins left="0.25" right="0.25" top="0.3" bottom="0.3" header="0.1" footer="0.1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3" hidden="0" customWidth="1"/>
    <x:col min="5" max="5" width="48" hidden="0" customWidth="1"/>
  </x:cols>
  <x:sheetData>
    <x:row r="1" ht="8" customHeight="1">
      <x:c r="A1" s="2"/>
      <x:c r="B1" s="4"/>
      <x:c r="C1" s="4"/>
      <x:c r="D1" s="2"/>
      <x:c r="E1" s="2"/>
    </x:row>
    <x:row r="2" ht="22" customHeight="1">
      <x:c r="A2" s="5" t="str">
        <x:v>Ausgeführte Zahlungen</x:v>
      </x:c>
      <x:c r="B2" s="4"/>
      <x:c r="C2" s="4"/>
      <x:c r="D2" s="2"/>
      <x:c r="E2" s="2"/>
    </x:row>
    <x:row r="3" ht="8" customHeight="1">
      <x:c r="A3" s="6"/>
      <x:c r="B3" s="7"/>
      <x:c r="C3" s="7"/>
      <x:c r="D3" s="6"/>
      <x:c r="E3" s="6"/>
    </x:row>
    <x:row r="4" ht="22" customHeight="1">
      <x:c r="A4" s="2" t="str">
        <x:v>Nora Winter · FK-2016-0214 · Stand 05.10.2026 · EUR</x:v>
      </x:c>
      <x:c r="B4" s="4"/>
      <x:c r="C4" s="4"/>
      <x:c r="D4" s="2"/>
      <x:c r="E4" s="2"/>
    </x:row>
    <x:row r="5" ht="8" customHeight="1">
      <x:c r="A5" s="2"/>
      <x:c r="B5" s="4"/>
      <x:c r="C5" s="4"/>
      <x:c r="D5" s="2"/>
      <x:c r="E5" s="2"/>
    </x:row>
    <x:row r="6" ht="30" customHeight="1">
      <x:c r="A6" s="15" t="str">
        <x:v>Valuta</x:v>
      </x:c>
      <x:c r="B6" s="16" t="str">
        <x:v>Referenz</x:v>
      </x:c>
      <x:c r="C6" s="16" t="str">
        <x:v>Betrag</x:v>
      </x:c>
      <x:c r="D6" s="2"/>
      <x:c r="E6" s="8"/>
    </x:row>
    <x:row r="7" ht="22" customHeight="1">
      <x:c r="A7" s="24" t="n">
        <x:v>43280</x:v>
      </x:c>
      <x:c r="B7" s="4" t="str">
        <x:v>Z-180629-41</x:v>
      </x:c>
      <x:c r="C7" s="17" t="n">
        <x:v>300000</x:v>
      </x:c>
      <x:c r="D7" s="2"/>
      <x:c r="E7" s="8" t="str">
        <x:v>18 Kassenabgleich; Empfängerin Nora</x:v>
      </x:c>
    </x:row>
    <x:row r="8" ht="22" customHeight="1">
      <x:c r="A8" s="24" t="n">
        <x:v>44043</x:v>
      </x:c>
      <x:c r="B8" s="4" t="str">
        <x:v>Z-200731-18</x:v>
      </x:c>
      <x:c r="C8" s="17" t="n">
        <x:v>250000</x:v>
      </x:c>
      <x:c r="D8" s="2"/>
      <x:c r="E8" s="8" t="str">
        <x:v>18 Kassenabgleich; Empfängerin Nora</x:v>
      </x:c>
    </x:row>
    <x:row r="9" ht="22" customHeight="1">
      <x:c r="A9" s="24" t="n">
        <x:v>44771</x:v>
      </x:c>
      <x:c r="B9" s="4" t="str">
        <x:v>Z-220729-08</x:v>
      </x:c>
      <x:c r="C9" s="17" t="n">
        <x:v>350000</x:v>
      </x:c>
      <x:c r="D9" s="2"/>
      <x:c r="E9" s="8" t="str">
        <x:v>18 Kassenabgleich; Empfängerin Nora</x:v>
      </x:c>
    </x:row>
    <x:row r="10" ht="22" customHeight="1">
      <x:c r="A10" s="24" t="n">
        <x:v>45504</x:v>
      </x:c>
      <x:c r="B10" s="4" t="str">
        <x:v>Z-240731-22</x:v>
      </x:c>
      <x:c r="C10" s="17" t="n">
        <x:v>300000</x:v>
      </x:c>
      <x:c r="D10" s="2"/>
      <x:c r="E10" s="8" t="str">
        <x:v>18 Kassenabgleich; Empfängerin Nora</x:v>
      </x:c>
    </x:row>
    <x:row r="11" ht="22" customHeight="1">
      <x:c r="A11" s="24" t="n">
        <x:v>46294</x:v>
      </x:c>
      <x:c r="B11" s="4" t="str">
        <x:v>Z-260929-06</x:v>
      </x:c>
      <x:c r="C11" s="17" t="n">
        <x:v>12000000</x:v>
      </x:c>
      <x:c r="D11" s="2"/>
      <x:c r="E11" s="8" t="str">
        <x:v>18 Kassenabgleich; Empfängerin Nora</x:v>
      </x:c>
    </x:row>
    <x:row r="12" ht="8" customHeight="1">
      <x:c r="A12" s="2"/>
      <x:c r="B12" s="4"/>
      <x:c r="C12" s="4"/>
      <x:c r="D12" s="2"/>
      <x:c r="E12" s="8"/>
    </x:row>
    <x:row r="13" ht="28" customHeight="1">
      <x:c r="A13" s="20" t="str">
        <x:v>Familie insgesamt</x:v>
      </x:c>
      <x:c r="B13" s="21"/>
      <x:c r="C13" s="21" t="n">
        <x:f>SUM(C7:C11)</x:f>
        <x:v>13200000</x:v>
      </x:c>
      <x:c r="D13" s="2"/>
      <x:c r="E13" s="8"/>
    </x:row>
    <x:row r="14" ht="8" customHeight="1">
      <x:c r="A14" s="2"/>
      <x:c r="B14" s="4"/>
      <x:c r="C14" s="4"/>
      <x:c r="D14" s="2"/>
      <x:c r="E14" s="8"/>
    </x:row>
    <x:row r="15" ht="8" customHeight="1">
      <x:c r="A15" s="2"/>
      <x:c r="B15" s="4"/>
      <x:c r="C15" s="4"/>
      <x:c r="D15" s="2"/>
      <x:c r="E15" s="8"/>
    </x:row>
    <x:row r="16" ht="30" customHeight="1">
      <x:c r="A16" s="15" t="str">
        <x:v>Valuta</x:v>
      </x:c>
      <x:c r="B16" s="16" t="str">
        <x:v>Referenz</x:v>
      </x:c>
      <x:c r="C16" s="16" t="str">
        <x:v>Erstattung</x:v>
      </x:c>
      <x:c r="D16" s="2"/>
      <x:c r="E16" s="8"/>
    </x:row>
    <x:row r="17" ht="22" customHeight="1">
      <x:c r="A17" s="24" t="n">
        <x:v>46297</x:v>
      </x:c>
      <x:c r="B17" s="4" t="str">
        <x:v>MOD-261002-WI</x:v>
      </x:c>
      <x:c r="C17" s="4" t="n">
        <x:v>8500000</x:v>
      </x:c>
      <x:c r="D17" s="2"/>
      <x:c r="E17" s="8" t="str">
        <x:v>15 und 18: Eingang bei Frankenbogen</x:v>
      </x:c>
    </x:row>
    <x:row r="18" ht="8" customHeight="1">
      <x:c r="A18" s="2"/>
      <x:c r="B18" s="4"/>
      <x:c r="C18" s="4"/>
      <x:c r="D18" s="2"/>
      <x:c r="E18" s="8"/>
    </x:row>
    <x:row r="19" ht="28" customHeight="1">
      <x:c r="A19" s="20" t="str">
        <x:v>Bisheriger Nettoabfluss</x:v>
      </x:c>
      <x:c r="B19" s="21"/>
      <x:c r="C19" s="21" t="n">
        <x:f>C13-C17</x:f>
        <x:v>4700000</x:v>
      </x:c>
      <x:c r="D19" s="2"/>
      <x:c r="E19" s="8" t="str">
        <x:v>Liquidität; keine endgültige Risikotragung</x:v>
      </x:c>
    </x:row>
    <x:row r="20" ht="8" customHeight="1">
      <x:c r="A20" s="2"/>
      <x:c r="B20" s="4"/>
      <x:c r="C20" s="4"/>
      <x:c r="D20" s="2"/>
      <x:c r="E20" s="8"/>
    </x:row>
    <x:row r="21" ht="8" customHeight="1">
      <x:c r="A21" s="2"/>
      <x:c r="B21" s="4"/>
      <x:c r="C21" s="4"/>
      <x:c r="D21" s="2"/>
      <x:c r="E21" s="8"/>
    </x:row>
    <x:row r="22" ht="22" customHeight="1">
      <x:c r="A22" s="2" t="str">
        <x:v>Keine Zahlung von Ausgleich oder Rückversicherung an die Familie.</x:v>
      </x:c>
      <x:c r="B22" s="4"/>
      <x:c r="C22" s="4"/>
      <x:c r="D22" s="2"/>
      <x:c r="E22" s="8"/>
    </x:row>
    <x:row r="23" ht="8" customHeight="1">
      <x:c r="A23" s="2"/>
      <x:c r="B23" s="4"/>
      <x:c r="C23" s="4"/>
      <x:c r="D23" s="2"/>
      <x:c r="E23" s="8"/>
    </x:row>
    <x:row r="24" ht="22" customHeight="1">
      <x:c r="A24" s="2" t="str">
        <x:v>Vorschüsse sind in 13,20 Mio. EUR enthalten; Reserve ist keine Zahlung.</x:v>
      </x:c>
      <x:c r="B24" s="4"/>
      <x:c r="C24" s="4"/>
      <x:c r="D24" s="2"/>
      <x:c r="E24" s="8"/>
    </x:row>
    <x:row r="25" ht="8" customHeight="1">
      <x:c r="A25" s="2"/>
      <x:c r="B25" s="4"/>
      <x:c r="C25" s="4"/>
      <x:c r="D25" s="2"/>
      <x:c r="E25" s="8"/>
    </x:row>
    <x:row r="26" ht="8" customHeight="1">
      <x:c r="A26" s="2"/>
      <x:c r="B26" s="4"/>
      <x:c r="C26" s="4"/>
      <x:c r="D26" s="2"/>
      <x:c r="E26" s="8"/>
    </x:row>
    <x:row r="27" ht="8" customHeight="1">
      <x:c r="A27" s="2"/>
      <x:c r="B27" s="4"/>
      <x:c r="C27" s="4"/>
      <x:c r="D27" s="2"/>
      <x:c r="E27" s="8"/>
    </x:row>
    <x:row r="28" ht="8" customHeight="1">
      <x:c r="A28" s="2"/>
      <x:c r="B28" s="4"/>
      <x:c r="C28" s="4"/>
      <x:c r="D28" s="2"/>
      <x:c r="E28" s="8"/>
    </x:row>
    <x:row r="29" ht="8" customHeight="1">
      <x:c r="A29" s="2"/>
      <x:c r="B29" s="4"/>
      <x:c r="C29" s="4"/>
      <x:c r="D29" s="2"/>
      <x:c r="E29" s="8"/>
    </x:row>
    <x:row r="30" ht="8" customHeight="1">
      <x:c r="A30" s="2"/>
      <x:c r="B30" s="4"/>
      <x:c r="C30" s="4"/>
      <x:c r="D30" s="2"/>
      <x:c r="E30" s="8"/>
    </x:row>
  </x:sheetData>
  <x:pageMargins left="0.25" right="0.25" top="0.3" bottom="0.3" header="0.1" footer="0.1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3" hidden="0" customWidth="1"/>
    <x:col min="5" max="5" width="48" hidden="0" customWidth="1"/>
  </x:cols>
  <x:sheetData>
    <x:row r="1" ht="8" customHeight="1">
      <x:c r="A1" s="2"/>
      <x:c r="B1" s="4"/>
      <x:c r="C1" s="4"/>
      <x:c r="D1" s="2"/>
      <x:c r="E1" s="2"/>
    </x:row>
    <x:row r="2" ht="22" customHeight="1">
      <x:c r="A2" s="5" t="str">
        <x:v>Interne Schichtenrechnung</x:v>
      </x:c>
      <x:c r="B2" s="4"/>
      <x:c r="C2" s="4"/>
      <x:c r="D2" s="2"/>
      <x:c r="E2" s="2"/>
    </x:row>
    <x:row r="3" ht="8" customHeight="1">
      <x:c r="A3" s="6"/>
      <x:c r="B3" s="7"/>
      <x:c r="C3" s="7"/>
      <x:c r="D3" s="6"/>
      <x:c r="E3" s="6"/>
    </x:row>
    <x:row r="4" ht="22" customHeight="1">
      <x:c r="A4" s="2" t="str">
        <x:v>Nur Modellannahmen aus 14 · keine tatsächlichen AKHA-Bedingungen</x:v>
      </x:c>
      <x:c r="B4" s="4"/>
      <x:c r="C4" s="4"/>
      <x:c r="D4" s="2"/>
      <x:c r="E4" s="2"/>
    </x:row>
    <x:row r="5" ht="8" customHeight="1">
      <x:c r="A5" s="2"/>
      <x:c r="B5" s="4"/>
      <x:c r="C5" s="4"/>
      <x:c r="D5" s="2"/>
      <x:c r="E5" s="2"/>
    </x:row>
    <x:row r="6" ht="30" customHeight="1">
      <x:c r="A6" s="15" t="str">
        <x:v>Parameter / Rechnung</x:v>
      </x:c>
      <x:c r="B6" s="16" t="str">
        <x:v>Betrag</x:v>
      </x:c>
      <x:c r="C6" s="16" t="str">
        <x:v>Status</x:v>
      </x:c>
      <x:c r="D6" s="2"/>
      <x:c r="E6" s="8"/>
    </x:row>
    <x:row r="7" ht="22" customHeight="1">
      <x:c r="A7" s="2" t="str">
        <x:v>Mitgliedsselbstbehalt</x:v>
      </x:c>
      <x:c r="B7" s="26" t="n">
        <x:v>1500000</x:v>
      </x:c>
      <x:c r="C7" s="4"/>
      <x:c r="D7" s="2"/>
      <x:c r="E7" s="8" t="str">
        <x:v>14 Nummer 2; trägt Frankenbogen</x:v>
      </x:c>
    </x:row>
    <x:row r="8" ht="22" customHeight="1">
      <x:c r="A8" s="2" t="str">
        <x:v>Rückversicherungspriorität</x:v>
      </x:c>
      <x:c r="B8" s="26" t="n">
        <x:v>10000000</x:v>
      </x:c>
      <x:c r="C8" s="4"/>
      <x:c r="D8" s="2"/>
      <x:c r="E8" s="8" t="str">
        <x:v>Bezugsgröße: ursprünglicher Gesamtschaden</x:v>
      </x:c>
    </x:row>
    <x:row r="9" ht="22" customHeight="1">
      <x:c r="A9" s="2" t="str">
        <x:v>Rückversicherungslimit</x:v>
      </x:c>
      <x:c r="B9" s="26" t="n">
        <x:v>10000000</x:v>
      </x:c>
      <x:c r="C9" s="4"/>
      <x:c r="D9" s="2"/>
      <x:c r="E9" s="8" t="str">
        <x:v>Weitere Schicht oberhalb der Priorität</x:v>
      </x:c>
    </x:row>
    <x:row r="10" ht="8" customHeight="1">
      <x:c r="A10" s="2"/>
      <x:c r="B10" s="4"/>
      <x:c r="C10" s="4"/>
      <x:c r="D10" s="2"/>
      <x:c r="E10" s="8"/>
    </x:row>
    <x:row r="11" ht="22" customHeight="1">
      <x:c r="A11" s="2" t="str">
        <x:v>Anrechenbarer Gesamtschaden</x:v>
      </x:c>
      <x:c r="B11" s="22" t="n">
        <x:f>'Vergleich'!B13</x:f>
        <x:v>13200000</x:v>
      </x:c>
      <x:c r="C11" s="4"/>
      <x:c r="D11" s="2"/>
      <x:c r="E11" s="8"/>
    </x:row>
    <x:row r="12" ht="22" customHeight="1">
      <x:c r="A12" s="2" t="str">
        <x:v>Frankenbogen trägt endgültig</x:v>
      </x:c>
      <x:c r="B12" s="4" t="n">
        <x:f>MIN(B11,B7)</x:f>
        <x:v>1500000</x:v>
      </x:c>
      <x:c r="C12" s="4"/>
      <x:c r="D12" s="2"/>
      <x:c r="E12" s="8"/>
    </x:row>
    <x:row r="13" ht="22" customHeight="1">
      <x:c r="A13" s="2" t="str">
        <x:v>Bruttoforderung an Ausgleich</x:v>
      </x:c>
      <x:c r="B13" s="4" t="n">
        <x:f>MAX(0,B11-B12)</x:f>
        <x:v>11700000</x:v>
      </x:c>
      <x:c r="C13" s="4" t="str">
        <x:v>angemeldet</x:v>
      </x:c>
      <x:c r="D13" s="2"/>
      <x:c r="E13" s="8"/>
    </x:row>
    <x:row r="14" ht="22" customHeight="1">
      <x:c r="A14" s="2" t="str">
        <x:v>Davon obere Rückdeckung</x:v>
      </x:c>
      <x:c r="B14" s="4" t="n">
        <x:f>MIN(MAX(0,B11-B8),B9)</x:f>
        <x:v>3200000</x:v>
      </x:c>
      <x:c r="C14" s="4" t="str">
        <x:v>ungeprüft</x:v>
      </x:c>
      <x:c r="D14" s="2"/>
      <x:c r="E14" s="8"/>
    </x:row>
    <x:row r="15" ht="28" customHeight="1">
      <x:c r="A15" s="20" t="str">
        <x:v>Gegenseitiger Ausgleich netto</x:v>
      </x:c>
      <x:c r="B15" s="21" t="n">
        <x:f>B13-B14</x:f>
        <x:v>8500000</x:v>
      </x:c>
      <x:c r="C15" s="21"/>
      <x:c r="D15" s="2"/>
      <x:c r="E15" s="8"/>
    </x:row>
    <x:row r="16" ht="8" customHeight="1">
      <x:c r="A16" s="2"/>
      <x:c r="B16" s="4"/>
      <x:c r="C16" s="4"/>
      <x:c r="D16" s="2"/>
      <x:c r="E16" s="8"/>
    </x:row>
    <x:row r="17" ht="22" customHeight="1">
      <x:c r="A17" s="2" t="str">
        <x:v>Ausgleich bereits erhalten</x:v>
      </x:c>
      <x:c r="B17" s="22" t="n">
        <x:f>'Zahlungen'!C17</x:f>
        <x:v>8500000</x:v>
      </x:c>
      <x:c r="C17" s="4" t="str">
        <x:v>eingegangen</x:v>
      </x:c>
      <x:c r="D17" s="2"/>
      <x:c r="E17" s="8"/>
    </x:row>
    <x:row r="18" ht="22" customHeight="1">
      <x:c r="A18" s="2" t="str">
        <x:v>Ausgleich noch offen</x:v>
      </x:c>
      <x:c r="B18" s="4" t="n">
        <x:f>B13-B17</x:f>
        <x:v>3200000</x:v>
      </x:c>
      <x:c r="C18" s="4" t="str">
        <x:v>Forderung</x:v>
      </x:c>
      <x:c r="D18" s="2"/>
      <x:c r="E18" s="8"/>
    </x:row>
    <x:row r="19" ht="8" customHeight="1">
      <x:c r="A19" s="2"/>
      <x:c r="B19" s="4"/>
      <x:c r="C19" s="4"/>
      <x:c r="D19" s="2"/>
      <x:c r="E19" s="8"/>
    </x:row>
    <x:row r="20" ht="22" customHeight="1">
      <x:c r="A20" s="2" t="str">
        <x:v>Rückdeckung dort eingegangen</x:v>
      </x:c>
      <x:c r="B20" s="26" t="n">
        <x:v>0</x:v>
      </x:c>
      <x:c r="C20" s="4" t="str">
        <x:v>kein Eingang</x:v>
      </x:c>
      <x:c r="D20" s="2"/>
      <x:c r="E20" s="8" t="str">
        <x:v>15: bei der Ausgleichsebene</x:v>
      </x:c>
    </x:row>
    <x:row r="21" ht="22" customHeight="1">
      <x:c r="A21" s="2" t="str">
        <x:v>Rückdeckung dort offen</x:v>
      </x:c>
      <x:c r="B21" s="4" t="n">
        <x:f>B14-B20</x:f>
        <x:v>3200000</x:v>
      </x:c>
      <x:c r="C21" s="4" t="str">
        <x:v>angemeldet</x:v>
      </x:c>
      <x:c r="D21" s="2"/>
      <x:c r="E21" s="8"/>
    </x:row>
    <x:row r="22" ht="8" customHeight="1">
      <x:c r="A22" s="2"/>
      <x:c r="B22" s="4"/>
      <x:c r="C22" s="4"/>
      <x:c r="D22" s="2"/>
      <x:c r="E22" s="8"/>
    </x:row>
    <x:row r="23" ht="22" customHeight="1">
      <x:c r="A23" s="2" t="str">
        <x:v>Reserve für offene Drittregresse</x:v>
      </x:c>
      <x:c r="B23" s="26" t="n">
        <x:v>650000</x:v>
      </x:c>
      <x:c r="C23" s="4"/>
      <x:c r="D23" s="2"/>
      <x:c r="E23" s="8" t="str">
        <x:v>16; außerhalb aktueller Abrechnung</x:v>
      </x:c>
    </x:row>
    <x:row r="24" ht="8" customHeight="1">
      <x:c r="A24" s="2"/>
      <x:c r="B24" s="4"/>
      <x:c r="C24" s="4"/>
      <x:c r="D24" s="2"/>
      <x:c r="E24" s="8"/>
    </x:row>
    <x:row r="25" ht="22" customHeight="1">
      <x:c r="A25" s="2" t="str">
        <x:v>Abgleich Schichten / Zahlung</x:v>
      </x:c>
      <x:c r="B25" s="23" t="n">
        <x:f>B12+B14+B15-B11</x:f>
        <x:v>0</x:v>
      </x:c>
      <x:c r="C25" s="4"/>
      <x:c r="D25" s="2"/>
      <x:c r="E25" s="8"/>
    </x:row>
    <x:row r="26" ht="8" customHeight="1">
      <x:c r="A26" s="2"/>
      <x:c r="B26" s="4"/>
      <x:c r="C26" s="4"/>
      <x:c r="D26" s="2"/>
      <x:c r="E26" s="8"/>
    </x:row>
    <x:row r="27" ht="22" customHeight="1">
      <x:c r="A27" s="2" t="str">
        <x:v>Offene 3,20 Mio. EUR bestehen auf zwei verschiedenen Abrechnungsebenen.</x:v>
      </x:c>
      <x:c r="B27" s="4"/>
      <x:c r="C27" s="4"/>
      <x:c r="D27" s="2"/>
      <x:c r="E27" s="8"/>
    </x:row>
    <x:row r="28" ht="22" customHeight="1">
      <x:c r="A28" s="2" t="str">
        <x:v>Die Beträge dürfen weder addiert noch als neue Familienforderung behandelt werden.</x:v>
      </x:c>
      <x:c r="B28" s="4"/>
      <x:c r="C28" s="4"/>
      <x:c r="D28" s="2"/>
      <x:c r="E28" s="8"/>
    </x:row>
    <x:row r="29" ht="8" customHeight="1">
      <x:c r="A29" s="2"/>
      <x:c r="B29" s="4"/>
      <x:c r="C29" s="4"/>
      <x:c r="D29" s="2"/>
      <x:c r="E29" s="8"/>
    </x:row>
    <x:row r="30" ht="8" customHeight="1">
      <x:c r="A30" s="2"/>
      <x:c r="B30" s="4"/>
      <x:c r="C30" s="4"/>
      <x:c r="D30" s="2"/>
      <x:c r="E30" s="8"/>
    </x:row>
  </x:sheetData>
  <x:conditionalFormatting sqref="B25:B25">
    <x:cfRule type="cellIs" dxfId="1" priority="1" operator="notEqual">
      <x:formula>0</x:formula>
    </x:cfRule>
  </x:conditionalFormatting>
  <x:pageMargins left="0.25" right="0.25" top="0.3" bottom="0.3" header="0.1" footer="0.1"/>
  <x:pageSetup paperSize="9" orientation="landscape" fitToWidth="1" fitToHeight="1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3" hidden="0" customWidth="1"/>
    <x:col min="5" max="5" width="48" hidden="0" customWidth="1"/>
  </x:cols>
  <x:sheetData>
    <x:row r="1" ht="8" customHeight="1">
      <x:c r="A1" s="2"/>
      <x:c r="B1" s="4"/>
      <x:c r="C1" s="4"/>
      <x:c r="D1" s="2"/>
      <x:c r="E1" s="2"/>
    </x:row>
    <x:row r="2" ht="22" customHeight="1">
      <x:c r="A2" s="5" t="str">
        <x:v>Grundlagen der Vergleichsbewertung</x:v>
      </x:c>
      <x:c r="B2" s="4"/>
      <x:c r="C2" s="4"/>
      <x:c r="D2" s="2"/>
      <x:c r="E2" s="2"/>
    </x:row>
    <x:row r="3" ht="8" customHeight="1">
      <x:c r="A3" s="6"/>
      <x:c r="B3" s="7"/>
      <x:c r="C3" s="7"/>
      <x:c r="D3" s="6"/>
      <x:c r="E3" s="6"/>
    </x:row>
    <x:row r="4" ht="22" customHeight="1">
      <x:c r="A4" s="2" t="str">
        <x:v>Ausgehandelte Kapitalbeträge · keine individuelle Barwertprognose</x:v>
      </x:c>
      <x:c r="B4" s="4"/>
      <x:c r="C4" s="4"/>
      <x:c r="D4" s="2"/>
      <x:c r="E4" s="2"/>
    </x:row>
    <x:row r="5" ht="8" customHeight="1">
      <x:c r="A5" s="2"/>
      <x:c r="B5" s="4"/>
      <x:c r="C5" s="4"/>
      <x:c r="D5" s="2"/>
      <x:c r="E5" s="2"/>
    </x:row>
    <x:row r="6" ht="30" customHeight="1">
      <x:c r="A6" s="15" t="str">
        <x:v>Pflegeansatz jährlich</x:v>
      </x:c>
      <x:c r="B6" s="16" t="str">
        <x:v>Eingabe</x:v>
      </x:c>
      <x:c r="C6" s="16" t="str">
        <x:v>Berechnung</x:v>
      </x:c>
      <x:c r="D6" s="2"/>
      <x:c r="E6" s="8"/>
    </x:row>
    <x:row r="7" ht="22" customHeight="1">
      <x:c r="A7" s="2" t="str">
        <x:v>Assistenzstunden je Tag</x:v>
      </x:c>
      <x:c r="B7" s="27" t="n">
        <x:v>10</x:v>
      </x:c>
      <x:c r="C7" s="4"/>
      <x:c r="D7" s="2"/>
      <x:c r="E7" s="8"/>
    </x:row>
    <x:row r="8" ht="22" customHeight="1">
      <x:c r="A8" s="2" t="str">
        <x:v>Endpreis je Stunde</x:v>
      </x:c>
      <x:c r="B8" s="26" t="n">
        <x:v>69</x:v>
      </x:c>
      <x:c r="C8" s="4"/>
      <x:c r="D8" s="2"/>
      <x:c r="E8" s="8" t="str">
        <x:v>08 Assistenzangebot</x:v>
      </x:c>
    </x:row>
    <x:row r="9" ht="22" customHeight="1">
      <x:c r="A9" s="2" t="str">
        <x:v>Tage je Jahr</x:v>
      </x:c>
      <x:c r="B9" s="27" t="n">
        <x:v>365</x:v>
      </x:c>
      <x:c r="C9" s="4"/>
      <x:c r="D9" s="2"/>
      <x:c r="E9" s="8"/>
    </x:row>
    <x:row r="10" ht="22" customHeight="1">
      <x:c r="A10" s="2" t="str">
        <x:v>Assistenz pro Jahr</x:v>
      </x:c>
      <x:c r="B10" s="4"/>
      <x:c r="C10" s="4" t="n">
        <x:f>B7*B8*B9</x:f>
        <x:v>251850</x:v>
      </x:c>
      <x:c r="D10" s="2"/>
      <x:c r="E10" s="8"/>
    </x:row>
    <x:row r="11" ht="22" customHeight="1">
      <x:c r="A11" s="2" t="str">
        <x:v>Therapie und Fahrten</x:v>
      </x:c>
      <x:c r="B11" s="26" t="n">
        <x:v>18000</x:v>
      </x:c>
      <x:c r="C11" s="4"/>
      <x:c r="D11" s="2"/>
      <x:c r="E11" s="8" t="str">
        <x:v>11 Vergleich; elterliche Angaben</x:v>
      </x:c>
    </x:row>
    <x:row r="12" ht="22" customHeight="1">
      <x:c r="A12" s="2" t="str">
        <x:v>Hilfsmittel und Wartung</x:v>
      </x:c>
      <x:c r="B12" s="26" t="n">
        <x:v>10150</x:v>
      </x:c>
      <x:c r="C12" s="4"/>
      <x:c r="D12" s="2"/>
      <x:c r="E12" s="8" t="str">
        <x:v>Wiederkehrend; kein Umbau doppelt</x:v>
      </x:c>
    </x:row>
    <x:row r="13" ht="22" customHeight="1">
      <x:c r="A13" s="2" t="str">
        <x:v>Bedarf vor Drittleistungen</x:v>
      </x:c>
      <x:c r="B13" s="4"/>
      <x:c r="C13" s="4" t="n">
        <x:f>C10+B11+B12</x:f>
        <x:v>280000</x:v>
      </x:c>
      <x:c r="D13" s="2"/>
      <x:c r="E13" s="8"/>
    </x:row>
    <x:row r="14" ht="22" customHeight="1">
      <x:c r="A14" s="2" t="str">
        <x:v>Leistungen anderer Träger</x:v>
      </x:c>
      <x:c r="B14" s="26" t="n">
        <x:v>50000</x:v>
      </x:c>
      <x:c r="C14" s="4"/>
      <x:c r="D14" s="2"/>
      <x:c r="E14" s="8" t="str">
        <x:v>Vereinbarter Ansatz, keine Kassenzusage</x:v>
      </x:c>
    </x:row>
    <x:row r="15" ht="28" customHeight="1">
      <x:c r="A15" s="20" t="str">
        <x:v>Ungedeckter Jahresansatz</x:v>
      </x:c>
      <x:c r="B15" s="21"/>
      <x:c r="C15" s="21" t="n">
        <x:f>C13-B14</x:f>
        <x:v>230000</x:v>
      </x:c>
      <x:c r="D15" s="2"/>
      <x:c r="E15" s="8"/>
    </x:row>
    <x:row r="16" ht="22" customHeight="1">
      <x:c r="A16" s="2" t="str">
        <x:v>Vereinbartes Pflegekapital</x:v>
      </x:c>
      <x:c r="B16" s="26" t="n">
        <x:v>8500000</x:v>
      </x:c>
      <x:c r="C16" s="4"/>
      <x:c r="D16" s="2"/>
      <x:c r="E16" s="8" t="str">
        <x:v>11 Vergleich, Nummer 1</x:v>
      </x:c>
    </x:row>
    <x:row r="17" ht="22" customHeight="1">
      <x:c r="A17" s="2" t="str">
        <x:v>Kapital / Jahresansatz</x:v>
      </x:c>
      <x:c r="B17" s="4"/>
      <x:c r="C17" s="28" t="n">
        <x:f>B16/C15</x:f>
        <x:v>36.95652173913044</x:v>
      </x:c>
      <x:c r="D17" s="2"/>
      <x:c r="E17" s="8" t="str">
        <x:v>Kontrollquotient; kein Barwertfaktor</x:v>
      </x:c>
    </x:row>
    <x:row r="18" ht="8" customHeight="1">
      <x:c r="A18" s="2"/>
      <x:c r="B18" s="4"/>
      <x:c r="C18" s="4"/>
      <x:c r="D18" s="2"/>
      <x:c r="E18" s="8"/>
    </x:row>
    <x:row r="19" ht="8" customHeight="1">
      <x:c r="A19" s="2"/>
      <x:c r="B19" s="4"/>
      <x:c r="C19" s="4"/>
      <x:c r="D19" s="2"/>
      <x:c r="E19" s="8"/>
    </x:row>
    <x:row r="20" ht="30" customHeight="1">
      <x:c r="A20" s="15" t="str">
        <x:v>Erwerbsbewertung</x:v>
      </x:c>
      <x:c r="B20" s="16" t="str">
        <x:v>Eingabe</x:v>
      </x:c>
      <x:c r="C20" s="16" t="str">
        <x:v>Kapital</x:v>
      </x:c>
      <x:c r="D20" s="2"/>
      <x:c r="E20" s="8"/>
    </x:row>
    <x:row r="21" ht="22" customHeight="1">
      <x:c r="A21" s="2" t="str">
        <x:v>Jährlicher Nettoausfall</x:v>
      </x:c>
      <x:c r="B21" s="26" t="n">
        <x:v>55000</x:v>
      </x:c>
      <x:c r="C21" s="4"/>
      <x:c r="D21" s="2"/>
      <x:c r="E21" s="8" t="str">
        <x:v>09: Annahme, Erwerb von 21 bis 67</x:v>
      </x:c>
    </x:row>
    <x:row r="22" ht="22" customHeight="1">
      <x:c r="A22" s="2" t="str">
        <x:v>Vereinbartes Erwerbskapital</x:v>
      </x:c>
      <x:c r="B22" s="26" t="n">
        <x:v>2250000</x:v>
      </x:c>
      <x:c r="C22" s="4"/>
      <x:c r="D22" s="2"/>
      <x:c r="E22" s="8"/>
    </x:row>
    <x:row r="23" ht="22" customHeight="1">
      <x:c r="A23" s="2" t="str">
        <x:v>Kapital / Jahresansatz</x:v>
      </x:c>
      <x:c r="B23" s="4"/>
      <x:c r="C23" s="28" t="n">
        <x:f>B22/B21</x:f>
        <x:v>40.90909090909091</x:v>
      </x:c>
      <x:c r="D23" s="2"/>
      <x:c r="E23" s="8" t="str">
        <x:v>Kontrollquotient; kein Barwertfaktor</x:v>
      </x:c>
    </x:row>
    <x:row r="24" ht="8" customHeight="1">
      <x:c r="A24" s="2"/>
      <x:c r="B24" s="4"/>
      <x:c r="C24" s="4"/>
      <x:c r="D24" s="2"/>
      <x:c r="E24" s="8"/>
    </x:row>
    <x:row r="25" ht="8" customHeight="1">
      <x:c r="A25" s="2"/>
      <x:c r="B25" s="4"/>
      <x:c r="C25" s="4"/>
      <x:c r="D25" s="2"/>
      <x:c r="E25" s="8"/>
    </x:row>
    <x:row r="26" ht="22" customHeight="1">
      <x:c r="A26" s="2" t="str">
        <x:v>Kapitalbeträge sind frei verhandelt; Quotienten dienen nur der Orientierung.</x:v>
      </x:c>
      <x:c r="B26" s="4"/>
      <x:c r="C26" s="4"/>
      <x:c r="D26" s="2"/>
      <x:c r="E26" s="8"/>
    </x:row>
    <x:row r="27" ht="22" customHeight="1">
      <x:c r="A27" s="2" t="str">
        <x:v>Keine Sterbetafel und keine gesicherte Prognose zu Lebensdauer oder Beruf.</x:v>
      </x:c>
      <x:c r="B27" s="4"/>
      <x:c r="C27" s="4"/>
      <x:c r="D27" s="2"/>
      <x:c r="E27" s="8"/>
    </x:row>
    <x:row r="28" ht="8" customHeight="1">
      <x:c r="A28" s="2"/>
      <x:c r="B28" s="4"/>
      <x:c r="C28" s="4"/>
      <x:c r="D28" s="2"/>
      <x:c r="E28" s="8"/>
    </x:row>
    <x:row r="29" ht="8" customHeight="1">
      <x:c r="A29" s="2"/>
      <x:c r="B29" s="4"/>
      <x:c r="C29" s="4"/>
      <x:c r="D29" s="2"/>
      <x:c r="E29" s="8"/>
    </x:row>
    <x:row r="30" ht="8" customHeight="1">
      <x:c r="A30" s="2"/>
      <x:c r="B30" s="4"/>
      <x:c r="C30" s="4"/>
      <x:c r="D30" s="2"/>
      <x:c r="E30" s="8"/>
    </x:row>
  </x:sheetData>
  <x:pageMargins left="0.25" right="0.25" top="0.3" bottom="0.3" header="0.1" footer="0.1"/>
  <x:pageSetup paperSize="9" orientation="landscape" fitToWidth="1" fitToHeight="1"/>
</x:worksheet>
</file>