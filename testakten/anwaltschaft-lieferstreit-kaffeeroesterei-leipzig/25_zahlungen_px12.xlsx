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b82135bfc447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Zahlungen" sheetId="1" r:id="R7c361356629a41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&quot; EUR&quot;"/>
    <x:numFmt numFmtId="201" formatCode="0%"/>
    <x:numFmt numFmtId="202" formatCode="yyyy-mm-dd"/>
  </x:numFmts>
  <x:fonts count="5">
    <x:font>
      <x:sz val="11"/>
      <x:name val="Carlito"/>
    </x:font>
    <x:font>
      <x:sz val="11"/>
      <x:color rgb="FF111111"/>
      <x:name val="Times New Roman"/>
    </x:font>
    <x:font>
      <x:b/>
      <x:sz val="14"/>
      <x:color rgb="FF111111"/>
      <x:name val="Times New Roman"/>
    </x:font>
    <x:font>
      <x:b/>
      <x:sz val="11"/>
      <x:color rgb="FFFFFFFF"/>
      <x:name val="Times New Roman"/>
    </x:font>
    <x:font>
      <x:sz val="11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334D47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c751a7bb554196" /><Relationship Type="http://schemas.openxmlformats.org/officeDocument/2006/relationships/theme" Target="/xl/theme/theme1.xml" Id="R2484c6904df842ad" /><Relationship Type="http://schemas.openxmlformats.org/officeDocument/2006/relationships/sharedStrings" Target="/xl/sharedStrings.xml" Id="R05fcbeed0816472d" /><Relationship Type="http://schemas.openxmlformats.org/officeDocument/2006/relationships/worksheet" Target="/xl/worksheets/sheet1.xml" Id="R7c361356629a41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9" hidden="0" customWidth="1"/>
    <x:col min="2" max="2" width="19" hidden="0" customWidth="1"/>
    <x:col min="3" max="3" width="14" hidden="0" customWidth="1"/>
    <x:col min="4" max="4" width="20" hidden="0" customWidth="1"/>
    <x:col min="5" max="5" width="20" hidden="0" customWidth="1"/>
  </x:cols>
  <x:sheetData>
    <x:row r="1">
      <x:c r="A1" s="1"/>
      <x:c r="B1" s="1"/>
      <x:c r="C1" s="1"/>
      <x:c r="D1" s="1"/>
      <x:c r="E1" s="1"/>
    </x:row>
    <x:row r="2">
      <x:c r="A2" s="2" t="str">
        <x:v>PX12 Rechnungen und Zahlung</x:v>
      </x:c>
      <x:c r="B2" s="1"/>
      <x:c r="C2" s="1"/>
      <x:c r="D2" s="1"/>
      <x:c r="E2" s="1"/>
    </x:row>
    <x:row r="3">
      <x:c r="A3" s="1" t="str">
        <x:v>Leonie Pohl, 21.09.2026. Auftrag NW-260312-47; Beträge in EUR.</x:v>
      </x:c>
      <x:c r="B3" s="1"/>
      <x:c r="C3" s="1"/>
      <x:c r="D3" s="1"/>
      <x:c r="E3" s="1"/>
    </x:row>
    <x:row r="4">
      <x:c r="A4" s="1"/>
      <x:c r="B4" s="1"/>
      <x:c r="C4" s="1"/>
      <x:c r="D4" s="1"/>
      <x:c r="E4" s="1"/>
    </x:row>
    <x:row r="5" ht="34" customHeight="1">
      <x:c r="A5" s="6" t="str">
        <x:v>Vorgang</x:v>
      </x:c>
      <x:c r="B5" s="6" t="str">
        <x:v>Netto</x:v>
      </x:c>
      <x:c r="C5" s="6" t="str">
        <x:v>USt-Satz</x:v>
      </x:c>
      <x:c r="D5" s="6" t="str">
        <x:v>Umsatzsteuer</x:v>
      </x:c>
      <x:c r="E5" s="6" t="str">
        <x:v>Brutto</x:v>
      </x:c>
    </x:row>
    <x:row r="6" ht="25" customHeight="1">
      <x:c r="A6" s="7" t="str">
        <x:v>Auftrag / NW-261184</x:v>
      </x:c>
      <x:c r="B6" s="8" t="n">
        <x:v>36000</x:v>
      </x:c>
      <x:c r="C6" s="9" t="n">
        <x:v>0.19</x:v>
      </x:c>
      <x:c r="D6" s="8" t="n">
        <x:f>ROUND(B6*C6,2)</x:f>
        <x:v>6840</x:v>
      </x:c>
      <x:c r="E6" s="8" t="n">
        <x:f>B6+D6</x:f>
        <x:v>42840</x:v>
      </x:c>
    </x:row>
    <x:row r="7" ht="25" customHeight="1">
      <x:c r="A7" s="7" t="str">
        <x:v>Anzahlung / NW-260341</x:v>
      </x:c>
      <x:c r="B7" s="8" t="n">
        <x:v>12000</x:v>
      </x:c>
      <x:c r="C7" s="9" t="n">
        <x:v>0.19</x:v>
      </x:c>
      <x:c r="D7" s="8" t="n">
        <x:f>ROUND(B7*C7,2)</x:f>
        <x:v>2280</x:v>
      </x:c>
      <x:c r="E7" s="8" t="n">
        <x:f>B7+D7</x:f>
        <x:v>14280</x:v>
      </x:c>
    </x:row>
    <x:row r="8" ht="25" customHeight="1">
      <x:c r="A8" s="7" t="str">
        <x:v>Rest laut NW-261184</x:v>
      </x:c>
      <x:c r="B8" s="8" t="n">
        <x:f>B6-B7</x:f>
        <x:v>24000</x:v>
      </x:c>
      <x:c r="C8" s="9" t="n">
        <x:v>0.19</x:v>
      </x:c>
      <x:c r="D8" s="8" t="n">
        <x:f>ROUND(B8*C8,2)</x:f>
        <x:v>4560</x:v>
      </x:c>
      <x:c r="E8" s="8" t="n">
        <x:f>B8+D8</x:f>
        <x:v>28560</x:v>
      </x:c>
    </x:row>
    <x:row r="9" ht="25" customHeight="1">
      <x:c r="A9" s="7"/>
      <x:c r="B9" s="7"/>
      <x:c r="C9" s="7"/>
      <x:c r="D9" s="7"/>
      <x:c r="E9" s="7"/>
    </x:row>
    <x:row r="10">
      <x:c r="A10" s="1"/>
      <x:c r="B10" s="1"/>
      <x:c r="C10" s="1"/>
      <x:c r="D10" s="1"/>
      <x:c r="E10" s="1"/>
    </x:row>
    <x:row r="11">
      <x:c r="A11" s="1" t="str">
        <x:v>Zahlung am</x:v>
      </x:c>
      <x:c r="B11" s="1" t="str">
        <x:v>Betrag brutto</x:v>
      </x:c>
      <x:c r="C11" s="1" t="str">
        <x:v>Beleg</x:v>
      </x:c>
      <x:c r="D11" s="1"/>
      <x:c r="E11" s="1"/>
    </x:row>
    <x:row r="12">
      <x:c r="A12" s="10" t="n">
        <x:v>46101</x:v>
      </x:c>
      <x:c r="B12" s="11" t="n">
        <x:v>14280</x:v>
      </x:c>
      <x:c r="C12" s="1" t="str">
        <x:v>Kontoauszug Umsatz 184</x:v>
      </x:c>
      <x:c r="D12" s="1"/>
      <x:c r="E12" s="1"/>
    </x:row>
    <x:row r="13">
      <x:c r="A13" s="1"/>
      <x:c r="B13" s="1"/>
      <x:c r="C13" s="1"/>
      <x:c r="D13" s="1"/>
      <x:c r="E13" s="1"/>
    </x:row>
    <x:row r="14">
      <x:c r="A14" s="1"/>
      <x:c r="B14" s="1"/>
      <x:c r="C14" s="1"/>
      <x:c r="D14" s="1"/>
      <x:c r="E14" s="1"/>
    </x:row>
    <x:row r="15">
      <x:c r="A15" s="1" t="str">
        <x:v>Gesamtrechnung abzüglich Bankzahlung</x:v>
      </x:c>
      <x:c r="B15" s="1"/>
      <x:c r="C15" s="1"/>
      <x:c r="D15" s="1"/>
      <x:c r="E15" s="11" t="n">
        <x:f>E6-B12</x:f>
        <x:v>28560</x:v>
      </x:c>
    </x:row>
    <x:row r="16">
      <x:c r="A16" s="1"/>
      <x:c r="B16" s="1"/>
      <x:c r="C16" s="1"/>
      <x:c r="D16" s="1"/>
      <x:c r="E16" s="1"/>
    </x:row>
    <x:row r="17">
      <x:c r="A17" s="1" t="str">
        <x:v>Zahlungsdatei: 28.560 EUR vorgemerkt, nicht freigegeben. Kein weiterer Abgang.</x:v>
      </x:c>
      <x:c r="B17" s="1"/>
      <x:c r="C17" s="1"/>
      <x:c r="D17" s="1"/>
      <x:c r="E17" s="1"/>
    </x:row>
    <x:row r="18">
      <x:c r="A18" s="1" t="str">
        <x:v>Belege: NW-261184 vom 19.08., Kontoauszug, E-Mail vom 09.09.2026.</x:v>
      </x:c>
      <x:c r="B18" s="1"/>
      <x:c r="C18" s="1"/>
      <x:c r="D18" s="1"/>
      <x:c r="E18" s="1"/>
    </x:row>
    <x:row r="19">
      <x:c r="A19" s="1" t="str">
        <x:v>Angekündigter Einzug: 25.09.2026; Mandatskopie und Gläubigerkennung fehlen.</x:v>
      </x:c>
      <x:c r="B19" s="1"/>
      <x:c r="C19" s="1"/>
      <x:c r="D19" s="1"/>
      <x:c r="E19" s="1"/>
    </x:row>
    <x:row r="20">
      <x:c r="A20" s="12" t="str">
        <x:v>Quelle für Einzug: Schreiben Nordwerk vom 08.09.2026; kein gebuchter Umsatz.</x:v>
      </x:c>
      <x:c r="B20" s="12"/>
      <x:c r="C20" s="12"/>
      <x:c r="D20" s="12"/>
      <x:c r="E20" s="12"/>
    </x:row>
    <x:row r="21">
      <x:c r="A21" s="12"/>
      <x:c r="B21" s="12"/>
      <x:c r="C21" s="12"/>
      <x:c r="D21" s="12"/>
      <x:c r="E21" s="12"/>
    </x:row>
  </x:sheetData>
  <x:mergeCells>
    <x:mergeCell ref="C12:E12"/>
  </x:mergeCells>
  <x:pageMargins left="0.7" right="0.7" top="0.75" bottom="0.75" header="0.3" footer="0.3"/>
</x:worksheet>
</file>