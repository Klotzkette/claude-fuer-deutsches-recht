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c7636c58f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ktion" sheetId="1" r:id="Rab3b9bb81a69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5">
    <x:font>
      <x:sz val="11"/>
      <x:name val="Carlito"/>
    </x:font>
    <x:font>
      <x:sz val="11"/>
      <x:color rgb="FF111111"/>
      <x:name val="Times New Roman"/>
    </x:font>
    <x:font>
      <x:b/>
      <x:sz val="14"/>
      <x:color rgb="FF111111"/>
      <x:name val="Times New Roman"/>
    </x:font>
    <x:font>
      <x:b/>
      <x:sz val="11"/>
      <x:color rgb="FFFFFFFF"/>
      <x:name val="Times New Roman"/>
    </x:font>
    <x:font>
      <x:b/>
      <x:sz val="11"/>
      <x:color rgb="FF11111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334D4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f5397df9842a5" /><Relationship Type="http://schemas.openxmlformats.org/officeDocument/2006/relationships/theme" Target="/xl/theme/theme1.xml" Id="R9ad4033ab83e4eec" /><Relationship Type="http://schemas.openxmlformats.org/officeDocument/2006/relationships/sharedStrings" Target="/xl/sharedStrings.xml" Id="Ra1e3c350a34d4746" /><Relationship Type="http://schemas.openxmlformats.org/officeDocument/2006/relationships/worksheet" Target="/xl/worksheets/sheet1.xml" Id="Rab3b9bb81a6941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2" hidden="0" customWidth="1"/>
    <x:col min="4" max="4" width="16" hidden="0" customWidth="1"/>
    <x:col min="5" max="5" width="14" hidden="0" customWidth="1"/>
    <x:col min="6" max="6" width="18" hidden="0" customWidth="1"/>
    <x:col min="7" max="7" width="19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PX12 Produktion 18. bis 20. August 2026</x:v>
      </x:c>
      <x:c r="B2" s="1"/>
      <x:c r="C2" s="1"/>
      <x:c r="D2" s="1"/>
      <x:c r="E2" s="1"/>
      <x:c r="F2" s="1"/>
      <x:c r="G2" s="1"/>
    </x:row>
    <x:row r="3">
      <x:c r="A3" s="1" t="str">
        <x:v>Maja Brandt, 21.09.2026. Übertragung aus Produktionsbuch P01 bis P18.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6" t="str">
        <x:v>Messung</x:v>
      </x:c>
      <x:c r="B5" s="6" t="str">
        <x:v>Datum</x:v>
      </x:c>
      <x:c r="C5" s="6" t="str">
        <x:v>Minuten</x:v>
      </x:c>
      <x:c r="D5" s="6" t="str">
        <x:v>Beutel 450 g</x:v>
      </x:c>
      <x:c r="E5" s="6" t="str">
        <x:v>Naht offen</x:v>
      </x:c>
      <x:c r="F5" s="6" t="str">
        <x:v>Naht geschlossen</x:v>
      </x:c>
      <x:c r="G5" s="6" t="str">
        <x:v>Beutel je Minute</x:v>
      </x:c>
    </x:row>
    <x:row r="6" ht="16" customHeight="1">
      <x:c r="A6" s="7" t="str">
        <x:v>P01</x:v>
      </x:c>
      <x:c r="B6" s="8" t="n">
        <x:v>46252</x:v>
      </x:c>
      <x:c r="C6" s="9" t="n">
        <x:v>10</x:v>
      </x:c>
      <x:c r="D6" s="9" t="n">
        <x:v>55</x:v>
      </x:c>
      <x:c r="E6" s="9" t="n">
        <x:v>4</x:v>
      </x:c>
      <x:c r="F6" s="9" t="n">
        <x:f>D6-E6</x:f>
        <x:v>51</x:v>
      </x:c>
      <x:c r="G6" s="11" t="n">
        <x:f>D6/C6</x:f>
        <x:v>5.5</x:v>
      </x:c>
    </x:row>
    <x:row r="7" ht="16" customHeight="1">
      <x:c r="A7" s="7" t="str">
        <x:v>P02</x:v>
      </x:c>
      <x:c r="B7" s="8" t="n">
        <x:v>46252</x:v>
      </x:c>
      <x:c r="C7" s="9" t="n">
        <x:v>10</x:v>
      </x:c>
      <x:c r="D7" s="9" t="n">
        <x:v>55</x:v>
      </x:c>
      <x:c r="E7" s="9" t="n">
        <x:v>5</x:v>
      </x:c>
      <x:c r="F7" s="9" t="n">
        <x:f>D7-E7</x:f>
        <x:v>50</x:v>
      </x:c>
      <x:c r="G7" s="11" t="n">
        <x:f>D7/C7</x:f>
        <x:v>5.5</x:v>
      </x:c>
    </x:row>
    <x:row r="8" ht="16" customHeight="1">
      <x:c r="A8" s="7" t="str">
        <x:v>P03</x:v>
      </x:c>
      <x:c r="B8" s="8" t="n">
        <x:v>46252</x:v>
      </x:c>
      <x:c r="C8" s="9" t="n">
        <x:v>10</x:v>
      </x:c>
      <x:c r="D8" s="9" t="n">
        <x:v>55</x:v>
      </x:c>
      <x:c r="E8" s="9" t="n">
        <x:v>4</x:v>
      </x:c>
      <x:c r="F8" s="9" t="n">
        <x:f>D8-E8</x:f>
        <x:v>51</x:v>
      </x:c>
      <x:c r="G8" s="11" t="n">
        <x:f>D8/C8</x:f>
        <x:v>5.5</x:v>
      </x:c>
    </x:row>
    <x:row r="9" ht="16" customHeight="1">
      <x:c r="A9" s="7" t="str">
        <x:v>P04</x:v>
      </x:c>
      <x:c r="B9" s="8" t="n">
        <x:v>46252</x:v>
      </x:c>
      <x:c r="C9" s="9" t="n">
        <x:v>10</x:v>
      </x:c>
      <x:c r="D9" s="9" t="n">
        <x:v>55</x:v>
      </x:c>
      <x:c r="E9" s="9" t="n">
        <x:v>3</x:v>
      </x:c>
      <x:c r="F9" s="9" t="n">
        <x:f>D9-E9</x:f>
        <x:v>52</x:v>
      </x:c>
      <x:c r="G9" s="11" t="n">
        <x:f>D9/C9</x:f>
        <x:v>5.5</x:v>
      </x:c>
    </x:row>
    <x:row r="10" ht="16" customHeight="1">
      <x:c r="A10" s="7" t="str">
        <x:v>P05</x:v>
      </x:c>
      <x:c r="B10" s="8" t="n">
        <x:v>46252</x:v>
      </x:c>
      <x:c r="C10" s="9" t="n">
        <x:v>10</x:v>
      </x:c>
      <x:c r="D10" s="9" t="n">
        <x:v>55</x:v>
      </x:c>
      <x:c r="E10" s="9" t="n">
        <x:v>4</x:v>
      </x:c>
      <x:c r="F10" s="9" t="n">
        <x:f>D10-E10</x:f>
        <x:v>51</x:v>
      </x:c>
      <x:c r="G10" s="11" t="n">
        <x:f>D10/C10</x:f>
        <x:v>5.5</x:v>
      </x:c>
    </x:row>
    <x:row r="11" ht="16" customHeight="1">
      <x:c r="A11" s="7" t="str">
        <x:v>P06</x:v>
      </x:c>
      <x:c r="B11" s="8" t="n">
        <x:v>46252</x:v>
      </x:c>
      <x:c r="C11" s="9" t="n">
        <x:v>10</x:v>
      </x:c>
      <x:c r="D11" s="9" t="n">
        <x:v>55</x:v>
      </x:c>
      <x:c r="E11" s="9" t="n">
        <x:v>3</x:v>
      </x:c>
      <x:c r="F11" s="9" t="n">
        <x:f>D11-E11</x:f>
        <x:v>52</x:v>
      </x:c>
      <x:c r="G11" s="11" t="n">
        <x:f>D11/C11</x:f>
        <x:v>5.5</x:v>
      </x:c>
    </x:row>
    <x:row r="12" ht="16" customHeight="1">
      <x:c r="A12" s="7" t="str">
        <x:v>P07</x:v>
      </x:c>
      <x:c r="B12" s="8" t="n">
        <x:v>46253</x:v>
      </x:c>
      <x:c r="C12" s="9" t="n">
        <x:v>10</x:v>
      </x:c>
      <x:c r="D12" s="9" t="n">
        <x:v>55</x:v>
      </x:c>
      <x:c r="E12" s="9" t="n">
        <x:v>5</x:v>
      </x:c>
      <x:c r="F12" s="9" t="n">
        <x:f>D12-E12</x:f>
        <x:v>50</x:v>
      </x:c>
      <x:c r="G12" s="11" t="n">
        <x:f>D12/C12</x:f>
        <x:v>5.5</x:v>
      </x:c>
    </x:row>
    <x:row r="13" ht="16" customHeight="1">
      <x:c r="A13" s="7" t="str">
        <x:v>P08</x:v>
      </x:c>
      <x:c r="B13" s="8" t="n">
        <x:v>46253</x:v>
      </x:c>
      <x:c r="C13" s="9" t="n">
        <x:v>10</x:v>
      </x:c>
      <x:c r="D13" s="9" t="n">
        <x:v>55</x:v>
      </x:c>
      <x:c r="E13" s="9" t="n">
        <x:v>4</x:v>
      </x:c>
      <x:c r="F13" s="9" t="n">
        <x:f>D13-E13</x:f>
        <x:v>51</x:v>
      </x:c>
      <x:c r="G13" s="11" t="n">
        <x:f>D13/C13</x:f>
        <x:v>5.5</x:v>
      </x:c>
    </x:row>
    <x:row r="14" ht="16" customHeight="1">
      <x:c r="A14" s="7" t="str">
        <x:v>P09</x:v>
      </x:c>
      <x:c r="B14" s="8" t="n">
        <x:v>46253</x:v>
      </x:c>
      <x:c r="C14" s="9" t="n">
        <x:v>10</x:v>
      </x:c>
      <x:c r="D14" s="9" t="n">
        <x:v>55</x:v>
      </x:c>
      <x:c r="E14" s="9" t="n">
        <x:v>5</x:v>
      </x:c>
      <x:c r="F14" s="9" t="n">
        <x:f>D14-E14</x:f>
        <x:v>50</x:v>
      </x:c>
      <x:c r="G14" s="11" t="n">
        <x:f>D14/C14</x:f>
        <x:v>5.5</x:v>
      </x:c>
    </x:row>
    <x:row r="15" ht="16" customHeight="1">
      <x:c r="A15" s="7" t="str">
        <x:v>P10</x:v>
      </x:c>
      <x:c r="B15" s="8" t="n">
        <x:v>46253</x:v>
      </x:c>
      <x:c r="C15" s="9" t="n">
        <x:v>10</x:v>
      </x:c>
      <x:c r="D15" s="9" t="n">
        <x:v>55</x:v>
      </x:c>
      <x:c r="E15" s="9" t="n">
        <x:v>2</x:v>
      </x:c>
      <x:c r="F15" s="9" t="n">
        <x:f>D15-E15</x:f>
        <x:v>53</x:v>
      </x:c>
      <x:c r="G15" s="11" t="n">
        <x:f>D15/C15</x:f>
        <x:v>5.5</x:v>
      </x:c>
    </x:row>
    <x:row r="16" ht="16" customHeight="1">
      <x:c r="A16" s="7" t="str">
        <x:v>P11</x:v>
      </x:c>
      <x:c r="B16" s="8" t="n">
        <x:v>46253</x:v>
      </x:c>
      <x:c r="C16" s="9" t="n">
        <x:v>10</x:v>
      </x:c>
      <x:c r="D16" s="9" t="n">
        <x:v>55</x:v>
      </x:c>
      <x:c r="E16" s="9" t="n">
        <x:v>3</x:v>
      </x:c>
      <x:c r="F16" s="9" t="n">
        <x:f>D16-E16</x:f>
        <x:v>52</x:v>
      </x:c>
      <x:c r="G16" s="11" t="n">
        <x:f>D16/C16</x:f>
        <x:v>5.5</x:v>
      </x:c>
    </x:row>
    <x:row r="17" ht="16" customHeight="1">
      <x:c r="A17" s="7" t="str">
        <x:v>P12</x:v>
      </x:c>
      <x:c r="B17" s="8" t="n">
        <x:v>46253</x:v>
      </x:c>
      <x:c r="C17" s="9" t="n">
        <x:v>10</x:v>
      </x:c>
      <x:c r="D17" s="9" t="n">
        <x:v>55</x:v>
      </x:c>
      <x:c r="E17" s="9" t="n">
        <x:v>2</x:v>
      </x:c>
      <x:c r="F17" s="9" t="n">
        <x:f>D17-E17</x:f>
        <x:v>53</x:v>
      </x:c>
      <x:c r="G17" s="11" t="n">
        <x:f>D17/C17</x:f>
        <x:v>5.5</x:v>
      </x:c>
    </x:row>
    <x:row r="18" ht="16" customHeight="1">
      <x:c r="A18" s="7" t="str">
        <x:v>P13</x:v>
      </x:c>
      <x:c r="B18" s="8" t="n">
        <x:v>46254</x:v>
      </x:c>
      <x:c r="C18" s="9" t="n">
        <x:v>10</x:v>
      </x:c>
      <x:c r="D18" s="9" t="n">
        <x:v>55</x:v>
      </x:c>
      <x:c r="E18" s="9" t="n">
        <x:v>3</x:v>
      </x:c>
      <x:c r="F18" s="9" t="n">
        <x:f>D18-E18</x:f>
        <x:v>52</x:v>
      </x:c>
      <x:c r="G18" s="11" t="n">
        <x:f>D18/C18</x:f>
        <x:v>5.5</x:v>
      </x:c>
    </x:row>
    <x:row r="19" ht="16" customHeight="1">
      <x:c r="A19" s="7" t="str">
        <x:v>P14</x:v>
      </x:c>
      <x:c r="B19" s="8" t="n">
        <x:v>46254</x:v>
      </x:c>
      <x:c r="C19" s="9" t="n">
        <x:v>10</x:v>
      </x:c>
      <x:c r="D19" s="9" t="n">
        <x:v>55</x:v>
      </x:c>
      <x:c r="E19" s="9" t="n">
        <x:v>4</x:v>
      </x:c>
      <x:c r="F19" s="9" t="n">
        <x:f>D19-E19</x:f>
        <x:v>51</x:v>
      </x:c>
      <x:c r="G19" s="11" t="n">
        <x:f>D19/C19</x:f>
        <x:v>5.5</x:v>
      </x:c>
    </x:row>
    <x:row r="20" ht="16" customHeight="1">
      <x:c r="A20" s="7" t="str">
        <x:v>P15</x:v>
      </x:c>
      <x:c r="B20" s="8" t="n">
        <x:v>46254</x:v>
      </x:c>
      <x:c r="C20" s="9" t="n">
        <x:v>10</x:v>
      </x:c>
      <x:c r="D20" s="9" t="n">
        <x:v>55</x:v>
      </x:c>
      <x:c r="E20" s="9" t="n">
        <x:v>3</x:v>
      </x:c>
      <x:c r="F20" s="9" t="n">
        <x:f>D20-E20</x:f>
        <x:v>52</x:v>
      </x:c>
      <x:c r="G20" s="11" t="n">
        <x:f>D20/C20</x:f>
        <x:v>5.5</x:v>
      </x:c>
    </x:row>
    <x:row r="21" ht="16" customHeight="1">
      <x:c r="A21" s="7" t="str">
        <x:v>P16</x:v>
      </x:c>
      <x:c r="B21" s="8" t="n">
        <x:v>46254</x:v>
      </x:c>
      <x:c r="C21" s="9" t="n">
        <x:v>10</x:v>
      </x:c>
      <x:c r="D21" s="9" t="n">
        <x:v>55</x:v>
      </x:c>
      <x:c r="E21" s="9" t="n">
        <x:v>4</x:v>
      </x:c>
      <x:c r="F21" s="9" t="n">
        <x:f>D21-E21</x:f>
        <x:v>51</x:v>
      </x:c>
      <x:c r="G21" s="11" t="n">
        <x:f>D21/C21</x:f>
        <x:v>5.5</x:v>
      </x:c>
    </x:row>
    <x:row r="22" ht="16" customHeight="1">
      <x:c r="A22" s="7" t="str">
        <x:v>P17</x:v>
      </x:c>
      <x:c r="B22" s="8" t="n">
        <x:v>46254</x:v>
      </x:c>
      <x:c r="C22" s="9" t="n">
        <x:v>10</x:v>
      </x:c>
      <x:c r="D22" s="9" t="n">
        <x:v>55</x:v>
      </x:c>
      <x:c r="E22" s="9" t="n">
        <x:v>3</x:v>
      </x:c>
      <x:c r="F22" s="9" t="n">
        <x:f>D22-E22</x:f>
        <x:v>52</x:v>
      </x:c>
      <x:c r="G22" s="11" t="n">
        <x:f>D22/C22</x:f>
        <x:v>5.5</x:v>
      </x:c>
    </x:row>
    <x:row r="23" ht="16" customHeight="1">
      <x:c r="A23" s="7" t="str">
        <x:v>P18</x:v>
      </x:c>
      <x:c r="B23" s="8" t="n">
        <x:v>46254</x:v>
      </x:c>
      <x:c r="C23" s="9" t="n">
        <x:v>10</x:v>
      </x:c>
      <x:c r="D23" s="9" t="n">
        <x:v>55</x:v>
      </x:c>
      <x:c r="E23" s="9" t="n">
        <x:v>4</x:v>
      </x:c>
      <x:c r="F23" s="9" t="n">
        <x:f>D23-E23</x:f>
        <x:v>51</x:v>
      </x:c>
      <x:c r="G23" s="11" t="n">
        <x:f>D23/C23</x:f>
        <x:v>5.5</x:v>
      </x:c>
    </x:row>
    <x:row r="24">
      <x:c r="A24" s="1"/>
      <x:c r="B24" s="1"/>
      <x:c r="C24" s="10"/>
      <x:c r="D24" s="10"/>
      <x:c r="E24" s="10"/>
      <x:c r="F24" s="10"/>
      <x:c r="G24" s="12"/>
    </x:row>
    <x:row r="25">
      <x:c r="A25" s="13" t="str">
        <x:v>Summe</x:v>
      </x:c>
      <x:c r="B25" s="13"/>
      <x:c r="C25" s="14" t="n">
        <x:f>SUM(C6:C23)</x:f>
        <x:v>180</x:v>
      </x:c>
      <x:c r="D25" s="14" t="n">
        <x:f>SUM(D6:D23)</x:f>
        <x:v>990</x:v>
      </x:c>
      <x:c r="E25" s="14" t="n">
        <x:f>SUM(E6:E23)</x:f>
        <x:v>65</x:v>
      </x:c>
      <x:c r="F25" s="14" t="n">
        <x:f>SUM(F6:F23)</x:f>
        <x:v>925</x:v>
      </x:c>
      <x:c r="G25" s="15" t="n">
        <x:f>D25/C25</x:f>
        <x:v>5.5</x:v>
      </x:c>
    </x:row>
    <x:row r="26">
      <x:c r="A26" s="1"/>
      <x:c r="B26" s="1"/>
      <x:c r="C26" s="1"/>
      <x:c r="D26" s="1"/>
      <x:c r="E26" s="1"/>
      <x:c r="F26" s="1"/>
      <x:c r="G26" s="1"/>
    </x:row>
    <x:row r="27">
      <x:c r="A27" s="1" t="str">
        <x:v>Service vom 26.08.2026 separat: 60 Beutel in 10 Minuten, drei Nähte offen.</x:v>
      </x:c>
      <x:c r="B27" s="1"/>
      <x:c r="C27" s="1"/>
      <x:c r="D27" s="1"/>
      <x:c r="E27" s="1"/>
      <x:c r="F27" s="1"/>
      <x:c r="G27" s="1"/>
    </x:row>
    <x:row r="28">
      <x:c r="A28" s="1" t="str">
        <x:v>Nicht in obiger Summe enthalten. Quelle: SV-260826-114.</x:v>
      </x:c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</x:sheetData>
  <x:pageMargins left="0.7" right="0.7" top="0.75" bottom="0.75" header="0.3" footer="0.3"/>
</x:worksheet>
</file>