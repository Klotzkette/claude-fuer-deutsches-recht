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7eef186f1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bewegungen" sheetId="1" r:id="R75bab3288e904ab5"/>
    <x:sheet xmlns:r="http://schemas.openxmlformats.org/officeDocument/2006/relationships" name="Zinsen_Gebuehren" sheetId="2" r:id="R2813cc23a9634274"/>
    <x:sheet xmlns:r="http://schemas.openxmlformats.org/officeDocument/2006/relationships" name="Gebuehr_Valuta" sheetId="3" r:id="Re036caa3cee140e6"/>
    <x:sheet xmlns:r="http://schemas.openxmlformats.org/officeDocument/2006/relationships" name="Saldo_15_09_2026" sheetId="4" r:id="R8d0e72c3ebad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b9f4405714e4c" /><Relationship Type="http://schemas.openxmlformats.org/officeDocument/2006/relationships/theme" Target="/xl/theme/theme1.xml" Id="R1b11b19b7dce4ea1" /><Relationship Type="http://schemas.openxmlformats.org/officeDocument/2006/relationships/sharedStrings" Target="/xl/sharedStrings.xml" Id="Rcb0139fe66ec484f" /><Relationship Type="http://schemas.openxmlformats.org/officeDocument/2006/relationships/worksheet" Target="/xl/worksheets/sheet1.xml" Id="R75bab3288e904ab5" /><Relationship Type="http://schemas.openxmlformats.org/officeDocument/2006/relationships/worksheet" Target="/xl/worksheets/sheet2.xml" Id="R2813cc23a9634274" /><Relationship Type="http://schemas.openxmlformats.org/officeDocument/2006/relationships/worksheet" Target="/xl/worksheets/sheet3.xml" Id="Re036caa3cee140e6" /><Relationship Type="http://schemas.openxmlformats.org/officeDocument/2006/relationships/worksheet" Target="/xl/worksheets/sheet4.xml" Id="R8d0e72c3ebad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3" hidden="0" customWidth="1"/>
    <x:col min="4" max="4" width="20" hidden="0" customWidth="1"/>
    <x:col min="5" max="5" width="15" hidden="0" customWidth="1"/>
    <x:col min="6" max="6" width="15" hidden="0" customWidth="1"/>
    <x:col min="7" max="7" width="27" hidden="0" customWidth="1"/>
    <x:col min="8" max="8" width="32" hidden="0" customWidth="1"/>
  </x:cols>
  <x:sheetData>
    <x:row r="1" ht="24" customHeight="1">
      <x:c r="A1" s="4" t="str">
        <x:v>Darlehenskonto RK-2023-4471 und Forderungsstand zur Verfahrenseröffnung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 Kontoblatt der Rhenus Kreditbank; Soll bezeichnet eine Bruttoziehung, Haben eine kapitalmindernde Zahlung. Die am 30.06.2026 fällige Rate über 50.000 EUR wurde nicht bezahlt und ist deshalb nicht als Tilgung gebucht.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Pos.</x:v>
      </x:c>
      <x:c r="B5" s="11" t="str">
        <x:v>Valuta</x:v>
      </x:c>
      <x:c r="C5" s="11" t="str">
        <x:v>Vorgang</x:v>
      </x:c>
      <x:c r="D5" s="11" t="str">
        <x:v>Soll/Bruttoziehung EUR</x:v>
      </x:c>
      <x:c r="E5" s="11" t="str">
        <x:v>Haben/Tilgung EUR</x:v>
      </x:c>
      <x:c r="F5" s="11" t="str">
        <x:v>Kapitalstand EUR</x:v>
      </x:c>
      <x:c r="G5" s="11" t="str">
        <x:v>Bankreferenz</x:v>
      </x:c>
      <x:c r="H5" s="11" t="str">
        <x:v>Beleg/Status</x:v>
      </x:c>
    </x:row>
    <x:row r="6" ht="34" customHeight="1">
      <x:c r="A6" s="14" t="n">
        <x:v>1</x:v>
      </x:c>
      <x:c r="B6" s="14" t="str">
        <x:v>20.03.2023</x:v>
      </x:c>
      <x:c r="C6" s="14" t="str">
        <x:v>Auszahlung Tranche 1</x:v>
      </x:c>
      <x:c r="D6" s="14" t="n">
        <x:v>1600000</x:v>
      </x:c>
      <x:c r="E6" s="14" t="n">
        <x:v>0</x:v>
      </x:c>
      <x:c r="F6" s="14" t="n">
        <x:f>D6-E6</x:f>
        <x:v>1600000</x:v>
      </x:c>
      <x:c r="G6" s="14" t="str">
        <x:v>RK20234471T1</x:v>
      </x:c>
      <x:c r="H6" s="14" t="str">
        <x:v>Ausführungsbeleg 14 / Kontoauszug 17</x:v>
      </x:c>
    </x:row>
    <x:row r="7" ht="34" customHeight="1">
      <x:c r="A7" s="15" t="n">
        <x:v>2</x:v>
      </x:c>
      <x:c r="B7" s="15" t="str">
        <x:v>03.07.2023</x:v>
      </x:c>
      <x:c r="C7" s="15" t="str">
        <x:v>Auszahlung Tranche 2</x:v>
      </x:c>
      <x:c r="D7" s="15" t="n">
        <x:v>800000</x:v>
      </x:c>
      <x:c r="E7" s="15" t="n">
        <x:v>0</x:v>
      </x:c>
      <x:c r="F7" s="15" t="n">
        <x:f>F6+D7-E7</x:f>
        <x:v>2400000</x:v>
      </x:c>
      <x:c r="G7" s="15" t="str">
        <x:v>RK20234471T2</x:v>
      </x:c>
      <x:c r="H7" s="15" t="str">
        <x:v>Ausführungsbeleg 14 / Kontoauszug 17</x:v>
      </x:c>
    </x:row>
    <x:row r="8" ht="34" customHeight="1">
      <x:c r="A8" s="14" t="n">
        <x:v>3</x:v>
      </x:c>
      <x:c r="B8" s="14" t="str">
        <x:v>30.06.2024</x:v>
      </x:c>
      <x:c r="C8" s="14" t="str">
        <x:v>planmäßige Tilgung</x:v>
      </x:c>
      <x:c r="D8" s="14" t="n">
        <x:v>0</x:v>
      </x:c>
      <x:c r="E8" s="14" t="n">
        <x:v>50000</x:v>
      </x:c>
      <x:c r="F8" s="14" t="n">
        <x:f>F7+D8-E8</x:f>
        <x:v>2350000</x:v>
      </x:c>
      <x:c r="G8" s="14" t="str">
        <x:v>KTW-TILG-2024-02</x:v>
      </x:c>
      <x:c r="H8" s="14" t="str">
        <x:v>Zahlungseingang Rhenus 30.06.2024</x:v>
      </x:c>
    </x:row>
    <x:row r="9" ht="34" customHeight="1">
      <x:c r="A9" s="15" t="n">
        <x:v>4</x:v>
      </x:c>
      <x:c r="B9" s="15" t="str">
        <x:v>30.09.2024</x:v>
      </x:c>
      <x:c r="C9" s="15" t="str">
        <x:v>planmäßige Tilgung</x:v>
      </x:c>
      <x:c r="D9" s="15" t="n">
        <x:v>0</x:v>
      </x:c>
      <x:c r="E9" s="15" t="n">
        <x:v>50000</x:v>
      </x:c>
      <x:c r="F9" s="15" t="n">
        <x:f>F8+D9-E9</x:f>
        <x:v>2300000</x:v>
      </x:c>
      <x:c r="G9" s="15" t="str">
        <x:v>KTW-TILG-2024-03</x:v>
      </x:c>
      <x:c r="H9" s="15" t="str">
        <x:v>Zahlungseingang Rhenus 30.09.2024</x:v>
      </x:c>
    </x:row>
    <x:row r="10" ht="34" customHeight="1">
      <x:c r="A10" s="14" t="n">
        <x:v>5</x:v>
      </x:c>
      <x:c r="B10" s="14" t="str">
        <x:v>31.12.2024</x:v>
      </x:c>
      <x:c r="C10" s="14" t="str">
        <x:v>planmäßige Tilgung</x:v>
      </x:c>
      <x:c r="D10" s="14" t="n">
        <x:v>0</x:v>
      </x:c>
      <x:c r="E10" s="14" t="n">
        <x:v>50000</x:v>
      </x:c>
      <x:c r="F10" s="14" t="n">
        <x:f>F9+D10-E10</x:f>
        <x:v>2250000</x:v>
      </x:c>
      <x:c r="G10" s="14" t="str">
        <x:v>KTW-TILG-2024-04</x:v>
      </x:c>
      <x:c r="H10" s="14" t="str">
        <x:v>Zahlungseingang Rhenus 31.12.2024</x:v>
      </x:c>
    </x:row>
    <x:row r="11" ht="34" customHeight="1">
      <x:c r="A11" s="15" t="n">
        <x:v>6</x:v>
      </x:c>
      <x:c r="B11" s="15" t="str">
        <x:v>31.03.2025</x:v>
      </x:c>
      <x:c r="C11" s="15" t="str">
        <x:v>planmäßige Tilgung</x:v>
      </x:c>
      <x:c r="D11" s="15" t="n">
        <x:v>0</x:v>
      </x:c>
      <x:c r="E11" s="15" t="n">
        <x:v>50000</x:v>
      </x:c>
      <x:c r="F11" s="15" t="n">
        <x:f>F10+D11-E11</x:f>
        <x:v>2200000</x:v>
      </x:c>
      <x:c r="G11" s="15" t="str">
        <x:v>KTW-TILG-2025-01</x:v>
      </x:c>
      <x:c r="H11" s="15" t="str">
        <x:v>Zahlungseingang Rhenus 31.03.2025</x:v>
      </x:c>
    </x:row>
    <x:row r="12" ht="34" customHeight="1">
      <x:c r="A12" s="14" t="n">
        <x:v>7</x:v>
      </x:c>
      <x:c r="B12" s="14" t="str">
        <x:v>30.06.2025</x:v>
      </x:c>
      <x:c r="C12" s="14" t="str">
        <x:v>planmäßige Tilgung</x:v>
      </x:c>
      <x:c r="D12" s="14" t="n">
        <x:v>0</x:v>
      </x:c>
      <x:c r="E12" s="14" t="n">
        <x:v>50000</x:v>
      </x:c>
      <x:c r="F12" s="14" t="n">
        <x:f>F11+D12-E12</x:f>
        <x:v>2150000</x:v>
      </x:c>
      <x:c r="G12" s="14" t="str">
        <x:v>KTW-TILG-2025-02</x:v>
      </x:c>
      <x:c r="H12" s="14" t="str">
        <x:v>Zahlungseingang Rhenus 30.06.2025</x:v>
      </x:c>
    </x:row>
    <x:row r="13" ht="34" customHeight="1">
      <x:c r="A13" s="15" t="n">
        <x:v>8</x:v>
      </x:c>
      <x:c r="B13" s="15" t="str">
        <x:v>30.09.2025</x:v>
      </x:c>
      <x:c r="C13" s="15" t="str">
        <x:v>planmäßige Tilgung</x:v>
      </x:c>
      <x:c r="D13" s="15" t="n">
        <x:v>0</x:v>
      </x:c>
      <x:c r="E13" s="15" t="n">
        <x:v>50000</x:v>
      </x:c>
      <x:c r="F13" s="15" t="n">
        <x:f>F12+D13-E13</x:f>
        <x:v>2100000</x:v>
      </x:c>
      <x:c r="G13" s="15" t="str">
        <x:v>KTW-TILG-2025-03</x:v>
      </x:c>
      <x:c r="H13" s="15" t="str">
        <x:v>Zahlungseingang Rhenus 30.09.2025</x:v>
      </x:c>
    </x:row>
    <x:row r="14" ht="34" customHeight="1">
      <x:c r="A14" s="14" t="n">
        <x:v>9</x:v>
      </x:c>
      <x:c r="B14" s="14" t="str">
        <x:v>31.12.2025</x:v>
      </x:c>
      <x:c r="C14" s="14" t="str">
        <x:v>planmäßige Tilgung</x:v>
      </x:c>
      <x:c r="D14" s="14" t="n">
        <x:v>0</x:v>
      </x:c>
      <x:c r="E14" s="14" t="n">
        <x:v>50000</x:v>
      </x:c>
      <x:c r="F14" s="14" t="n">
        <x:f>F13+D14-E14</x:f>
        <x:v>2050000</x:v>
      </x:c>
      <x:c r="G14" s="14" t="str">
        <x:v>KTW-TILG-2025-04</x:v>
      </x:c>
      <x:c r="H14" s="14" t="str">
        <x:v>Zahlungseingang Rhenus 31.12.2025</x:v>
      </x:c>
    </x:row>
    <x:row r="15" ht="34" customHeight="1">
      <x:c r="A15" s="15" t="n">
        <x:v>10</x:v>
      </x:c>
      <x:c r="B15" s="15" t="str">
        <x:v>31.03.2026</x:v>
      </x:c>
      <x:c r="C15" s="15" t="str">
        <x:v>planmäßige Tilgung</x:v>
      </x:c>
      <x:c r="D15" s="15" t="n">
        <x:v>0</x:v>
      </x:c>
      <x:c r="E15" s="15" t="n">
        <x:v>50000</x:v>
      </x:c>
      <x:c r="F15" s="15" t="n">
        <x:f>F14+D15-E15</x:f>
        <x:v>2000000</x:v>
      </x:c>
      <x:c r="G15" s="15" t="str">
        <x:v>KTW-TILG-2026-01</x:v>
      </x:c>
      <x:c r="H15" s="15" t="str">
        <x:v>Zahlungseingang Rhenus 31.03.2026</x:v>
      </x:c>
    </x:row>
    <x:row r="16" ht="34" customHeight="1">
      <x:c r="A16" s="14" t="str">
        <x:v>Kontrolle</x:v>
      </x:c>
      <x:c r="B16" s="14" t="str">
        <x:v>15.09.2026</x:v>
      </x:c>
      <x:c r="C16" s="14" t="str">
        <x:v>Bruttoziehungen / Tilgungen / Kapital</x:v>
      </x:c>
      <x:c r="D16" s="14" t="n">
        <x:f>SUM(D6:D15)</x:f>
        <x:v>2400000</x:v>
      </x:c>
      <x:c r="E16" s="14" t="n">
        <x:f>SUM(E6:E15)</x:f>
        <x:v>400000</x:v>
      </x:c>
      <x:c r="F16" s="14" t="n">
        <x:f>D16-E16</x:f>
        <x:v>2000000</x:v>
      </x:c>
      <x:c r="G16" s="14" t="str">
        <x:f>IF(F16=2000000,"OK","FEHLER")</x:f>
        <x:v>OK</x:v>
      </x:c>
      <x:c r="H16" s="14" t="str">
        <x:v>2.400.000 - 400.000 = 2.000.000 EUR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13" hidden="0" customWidth="1"/>
    <x:col min="8" max="8" width="13" hidden="0" customWidth="1"/>
    <x:col min="9" max="9" width="44" hidden="0" customWidth="1"/>
  </x:cols>
  <x:sheetData>
    <x:row r="1" ht="24" customHeight="1">
      <x:c r="A1" s="4" t="str">
        <x:v>Darlehenskonto RK-2023-4471 und Forderungsstand zur Verfahrenseröffnung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8" t="str">
        <x:v>Arbeitsstand aus den beigefügten Aktenstücken; offene Angaben bleiben offen und sind nicht als Nullwert zu behandeln. Vertragszins 5,40 Prozent p.a.; für das Bankkontoblatt wird die vertraglich praktizierte 30/360-Methode verwendet. Ab 20.08.2026 ist der Gesamtverzugszins von 10,40 Prozent p.a. auf das fällig gestellte Kapital angesetzt; die rechtliche Durchsetzbarkeit, die tagesgenaue Abgrenzung und insolvenzrechtliche Zinsbegrenzungen bleiben zu prüfen.</x:v>
      </x:c>
      <x:c r="B3" s="8"/>
      <x:c r="C3" s="8"/>
      <x:c r="D3" s="8"/>
      <x:c r="E3" s="8"/>
      <x:c r="F3" s="8"/>
      <x:c r="G3" s="8"/>
      <x:c r="H3" s="8"/>
      <x:c r="I3" s="8"/>
    </x:row>
    <x:row r="5" ht="36" customHeight="1">
      <x:c r="A5" s="11" t="str">
        <x:v>Pos.</x:v>
      </x:c>
      <x:c r="B5" s="11" t="str">
        <x:v>Zeitraum</x:v>
      </x:c>
      <x:c r="C5" s="11" t="str">
        <x:v>Tage 30/360</x:v>
      </x:c>
      <x:c r="D5" s="11" t="str">
        <x:v>Zinsbasis EUR</x:v>
      </x:c>
      <x:c r="E5" s="11" t="str">
        <x:v>Satz p.a.</x:v>
      </x:c>
      <x:c r="F5" s="11" t="str">
        <x:v>Soll EUR</x:v>
      </x:c>
      <x:c r="G5" s="11" t="str">
        <x:v>Bezahlt EUR</x:v>
      </x:c>
      <x:c r="H5" s="11" t="str">
        <x:v>Offen EUR</x:v>
      </x:c>
      <x:c r="I5" s="11" t="str">
        <x:v>Buchungsreferenz/Einordnung</x:v>
      </x:c>
    </x:row>
    <x:row r="6" ht="34" customHeight="1">
      <x:c r="A6" s="14" t="n">
        <x:v>1</x:v>
      </x:c>
      <x:c r="B6" s="14" t="str">
        <x:v>20.03.–31.03.2023</x:v>
      </x:c>
      <x:c r="C6" s="14" t="n">
        <x:v>10</x:v>
      </x:c>
      <x:c r="D6" s="14" t="n">
        <x:v>1600000</x:v>
      </x:c>
      <x:c r="E6" s="14" t="n">
        <x:v>0.054</x:v>
      </x:c>
      <x:c r="F6" s="14" t="n">
        <x:f>ROUND(C6*D6*E6/360,2)</x:f>
        <x:v>2400</x:v>
      </x:c>
      <x:c r="G6" s="14" t="n">
        <x:f>F6</x:f>
        <x:v>2400</x:v>
      </x:c>
      <x:c r="H6" s="14" t="n">
        <x:f>F6-G6</x:f>
        <x:v>0</x:v>
      </x:c>
      <x:c r="I6" s="14" t="str">
        <x:v>ZINS-2023-Q1 / bezahlt 31.03.2023</x:v>
      </x:c>
    </x:row>
    <x:row r="7" ht="34" customHeight="1">
      <x:c r="A7" s="15" t="n">
        <x:v>2</x:v>
      </x:c>
      <x:c r="B7" s="15" t="str">
        <x:v>01.04.–30.06.2023</x:v>
      </x:c>
      <x:c r="C7" s="15" t="n">
        <x:v>90</x:v>
      </x:c>
      <x:c r="D7" s="15" t="n">
        <x:v>1600000</x:v>
      </x:c>
      <x:c r="E7" s="15" t="n">
        <x:v>0.054</x:v>
      </x:c>
      <x:c r="F7" s="15" t="n">
        <x:f>ROUND(C7*D7*E7/360,2)</x:f>
        <x:v>21600</x:v>
      </x:c>
      <x:c r="G7" s="15" t="n">
        <x:f>F7</x:f>
        <x:v>21600</x:v>
      </x:c>
      <x:c r="H7" s="15" t="n">
        <x:f>F7-G7</x:f>
        <x:v>0</x:v>
      </x:c>
      <x:c r="I7" s="15" t="str">
        <x:v>ZINS-2023-Q2 / bezahlt 30.06.2023</x:v>
      </x:c>
    </x:row>
    <x:row r="8" ht="34" customHeight="1">
      <x:c r="A8" s="14" t="n">
        <x:v>3</x:v>
      </x:c>
      <x:c r="B8" s="14" t="str">
        <x:v>01.07.–02.07.2023</x:v>
      </x:c>
      <x:c r="C8" s="14" t="n">
        <x:v>2</x:v>
      </x:c>
      <x:c r="D8" s="14" t="n">
        <x:v>1600000</x:v>
      </x:c>
      <x:c r="E8" s="14" t="n">
        <x:v>0.054</x:v>
      </x:c>
      <x:c r="F8" s="14" t="n">
        <x:f>ROUND(C8*D8*E8/360,2)</x:f>
        <x:v>480</x:v>
      </x:c>
      <x:c r="G8" s="14" t="n">
        <x:f>F8</x:f>
        <x:v>480</x:v>
      </x:c>
      <x:c r="H8" s="14" t="n">
        <x:f>F8-G8</x:f>
        <x:v>0</x:v>
      </x:c>
      <x:c r="I8" s="14" t="str">
        <x:v>ZINS-2023-Q3a / bezahlt 30.09.2023</x:v>
      </x:c>
    </x:row>
    <x:row r="9" ht="34" customHeight="1">
      <x:c r="A9" s="15" t="n">
        <x:v>4</x:v>
      </x:c>
      <x:c r="B9" s="15" t="str">
        <x:v>03.07.–30.09.2023</x:v>
      </x:c>
      <x:c r="C9" s="15" t="n">
        <x:v>88</x:v>
      </x:c>
      <x:c r="D9" s="15" t="n">
        <x:v>2400000</x:v>
      </x:c>
      <x:c r="E9" s="15" t="n">
        <x:v>0.054</x:v>
      </x:c>
      <x:c r="F9" s="15" t="n">
        <x:f>ROUND(C9*D9*E9/360,2)</x:f>
        <x:v>31680</x:v>
      </x:c>
      <x:c r="G9" s="15" t="n">
        <x:f>F9</x:f>
        <x:v>31680</x:v>
      </x:c>
      <x:c r="H9" s="15" t="n">
        <x:f>F9-G9</x:f>
        <x:v>0</x:v>
      </x:c>
      <x:c r="I9" s="15" t="str">
        <x:v>ZINS-2023-Q3b / bezahlt 30.09.2023</x:v>
      </x:c>
    </x:row>
    <x:row r="10" ht="34" customHeight="1">
      <x:c r="A10" s="14" t="n">
        <x:v>5</x:v>
      </x:c>
      <x:c r="B10" s="14" t="str">
        <x:v>01.10.–31.12.2023</x:v>
      </x:c>
      <x:c r="C10" s="14" t="n">
        <x:v>90</x:v>
      </x:c>
      <x:c r="D10" s="14" t="n">
        <x:v>2400000</x:v>
      </x:c>
      <x:c r="E10" s="14" t="n">
        <x:v>0.054</x:v>
      </x:c>
      <x:c r="F10" s="14" t="n">
        <x:f>ROUND(C10*D10*E10/360,2)</x:f>
        <x:v>32400</x:v>
      </x:c>
      <x:c r="G10" s="14" t="n">
        <x:f>F10</x:f>
        <x:v>32400</x:v>
      </x:c>
      <x:c r="H10" s="14" t="n">
        <x:f>F10-G10</x:f>
        <x:v>0</x:v>
      </x:c>
      <x:c r="I10" s="14" t="str">
        <x:v>ZINS-2023-Q4 / bezahlt 31.12.2023</x:v>
      </x:c>
    </x:row>
    <x:row r="11" ht="34" customHeight="1">
      <x:c r="A11" s="15" t="n">
        <x:v>6</x:v>
      </x:c>
      <x:c r="B11" s="15" t="str">
        <x:v>01.01.–31.03.2024</x:v>
      </x:c>
      <x:c r="C11" s="15" t="n">
        <x:v>90</x:v>
      </x:c>
      <x:c r="D11" s="15" t="n">
        <x:v>2400000</x:v>
      </x:c>
      <x:c r="E11" s="15" t="n">
        <x:v>0.054</x:v>
      </x:c>
      <x:c r="F11" s="15" t="n">
        <x:f>ROUND(C11*D11*E11/360,2)</x:f>
        <x:v>32400</x:v>
      </x:c>
      <x:c r="G11" s="15" t="n">
        <x:f>F11</x:f>
        <x:v>32400</x:v>
      </x:c>
      <x:c r="H11" s="15" t="n">
        <x:f>F11-G11</x:f>
        <x:v>0</x:v>
      </x:c>
      <x:c r="I11" s="15" t="str">
        <x:v>ZINS-2024-Q1 / bezahlt 31.03.2024</x:v>
      </x:c>
    </x:row>
    <x:row r="12" ht="34" customHeight="1">
      <x:c r="A12" s="14" t="n">
        <x:v>7</x:v>
      </x:c>
      <x:c r="B12" s="14" t="str">
        <x:v>01.04.–30.06.2024</x:v>
      </x:c>
      <x:c r="C12" s="14" t="n">
        <x:v>90</x:v>
      </x:c>
      <x:c r="D12" s="14" t="n">
        <x:v>2400000</x:v>
      </x:c>
      <x:c r="E12" s="14" t="n">
        <x:v>0.054</x:v>
      </x:c>
      <x:c r="F12" s="14" t="n">
        <x:f>ROUND(C12*D12*E12/360,2)</x:f>
        <x:v>32400</x:v>
      </x:c>
      <x:c r="G12" s="14" t="n">
        <x:f>F12</x:f>
        <x:v>32400</x:v>
      </x:c>
      <x:c r="H12" s="14" t="n">
        <x:f>F12-G12</x:f>
        <x:v>0</x:v>
      </x:c>
      <x:c r="I12" s="14" t="str">
        <x:v>ZINS-2024-Q2 / bezahlt 30.06.2024</x:v>
      </x:c>
    </x:row>
    <x:row r="13" ht="34" customHeight="1">
      <x:c r="A13" s="15" t="n">
        <x:v>8</x:v>
      </x:c>
      <x:c r="B13" s="15" t="str">
        <x:v>01.07.–30.09.2024</x:v>
      </x:c>
      <x:c r="C13" s="15" t="n">
        <x:v>90</x:v>
      </x:c>
      <x:c r="D13" s="15" t="n">
        <x:v>2350000</x:v>
      </x:c>
      <x:c r="E13" s="15" t="n">
        <x:v>0.054</x:v>
      </x:c>
      <x:c r="F13" s="15" t="n">
        <x:f>ROUND(C13*D13*E13/360,2)</x:f>
        <x:v>31725</x:v>
      </x:c>
      <x:c r="G13" s="15" t="n">
        <x:f>F13</x:f>
        <x:v>31725</x:v>
      </x:c>
      <x:c r="H13" s="15" t="n">
        <x:f>F13-G13</x:f>
        <x:v>0</x:v>
      </x:c>
      <x:c r="I13" s="15" t="str">
        <x:v>ZINS-2024-Q3 / bezahlt 30.09.2024</x:v>
      </x:c>
    </x:row>
    <x:row r="14" ht="34" customHeight="1">
      <x:c r="A14" s="14" t="n">
        <x:v>9</x:v>
      </x:c>
      <x:c r="B14" s="14" t="str">
        <x:v>01.10.–31.12.2024</x:v>
      </x:c>
      <x:c r="C14" s="14" t="n">
        <x:v>90</x:v>
      </x:c>
      <x:c r="D14" s="14" t="n">
        <x:v>2300000</x:v>
      </x:c>
      <x:c r="E14" s="14" t="n">
        <x:v>0.054</x:v>
      </x:c>
      <x:c r="F14" s="14" t="n">
        <x:f>ROUND(C14*D14*E14/360,2)</x:f>
        <x:v>31050</x:v>
      </x:c>
      <x:c r="G14" s="14" t="n">
        <x:f>F14</x:f>
        <x:v>31050</x:v>
      </x:c>
      <x:c r="H14" s="14" t="n">
        <x:f>F14-G14</x:f>
        <x:v>0</x:v>
      </x:c>
      <x:c r="I14" s="14" t="str">
        <x:v>ZINS-2024-Q4 / bezahlt 31.12.2024</x:v>
      </x:c>
    </x:row>
    <x:row r="15" ht="34" customHeight="1">
      <x:c r="A15" s="15" t="n">
        <x:v>10</x:v>
      </x:c>
      <x:c r="B15" s="15" t="str">
        <x:v>01.01.–31.03.2025</x:v>
      </x:c>
      <x:c r="C15" s="15" t="n">
        <x:v>90</x:v>
      </x:c>
      <x:c r="D15" s="15" t="n">
        <x:v>2250000</x:v>
      </x:c>
      <x:c r="E15" s="15" t="n">
        <x:v>0.054</x:v>
      </x:c>
      <x:c r="F15" s="15" t="n">
        <x:f>ROUND(C15*D15*E15/360,2)</x:f>
        <x:v>30375</x:v>
      </x:c>
      <x:c r="G15" s="15" t="n">
        <x:f>F15</x:f>
        <x:v>30375</x:v>
      </x:c>
      <x:c r="H15" s="15" t="n">
        <x:f>F15-G15</x:f>
        <x:v>0</x:v>
      </x:c>
      <x:c r="I15" s="15" t="str">
        <x:v>ZINS-2025-Q1 / bezahlt 31.03.2025</x:v>
      </x:c>
    </x:row>
    <x:row r="16" ht="34" customHeight="1">
      <x:c r="A16" s="14" t="n">
        <x:v>11</x:v>
      </x:c>
      <x:c r="B16" s="14" t="str">
        <x:v>01.04.–30.06.2025</x:v>
      </x:c>
      <x:c r="C16" s="14" t="n">
        <x:v>90</x:v>
      </x:c>
      <x:c r="D16" s="14" t="n">
        <x:v>2200000</x:v>
      </x:c>
      <x:c r="E16" s="14" t="n">
        <x:v>0.054</x:v>
      </x:c>
      <x:c r="F16" s="14" t="n">
        <x:f>ROUND(C16*D16*E16/360,2)</x:f>
        <x:v>29700</x:v>
      </x:c>
      <x:c r="G16" s="14" t="n">
        <x:f>F16</x:f>
        <x:v>29700</x:v>
      </x:c>
      <x:c r="H16" s="14" t="n">
        <x:f>F16-G16</x:f>
        <x:v>0</x:v>
      </x:c>
      <x:c r="I16" s="14" t="str">
        <x:v>ZINS-2025-Q2 / bezahlt 30.06.2025</x:v>
      </x:c>
    </x:row>
    <x:row r="17" ht="34" customHeight="1">
      <x:c r="A17" s="15" t="n">
        <x:v>12</x:v>
      </x:c>
      <x:c r="B17" s="15" t="str">
        <x:v>01.07.–30.09.2025</x:v>
      </x:c>
      <x:c r="C17" s="15" t="n">
        <x:v>90</x:v>
      </x:c>
      <x:c r="D17" s="15" t="n">
        <x:v>2150000</x:v>
      </x:c>
      <x:c r="E17" s="15" t="n">
        <x:v>0.054</x:v>
      </x:c>
      <x:c r="F17" s="15" t="n">
        <x:f>ROUND(C17*D17*E17/360,2)</x:f>
        <x:v>29025</x:v>
      </x:c>
      <x:c r="G17" s="15" t="n">
        <x:f>F17</x:f>
        <x:v>29025</x:v>
      </x:c>
      <x:c r="H17" s="15" t="n">
        <x:f>F17-G17</x:f>
        <x:v>0</x:v>
      </x:c>
      <x:c r="I17" s="15" t="str">
        <x:v>ZINS-2025-Q3 / bezahlt 30.09.2025</x:v>
      </x:c>
    </x:row>
    <x:row r="18" ht="34" customHeight="1">
      <x:c r="A18" s="14" t="n">
        <x:v>13</x:v>
      </x:c>
      <x:c r="B18" s="14" t="str">
        <x:v>01.10.–31.12.2025</x:v>
      </x:c>
      <x:c r="C18" s="14" t="n">
        <x:v>90</x:v>
      </x:c>
      <x:c r="D18" s="14" t="n">
        <x:v>2100000</x:v>
      </x:c>
      <x:c r="E18" s="14" t="n">
        <x:v>0.054</x:v>
      </x:c>
      <x:c r="F18" s="14" t="n">
        <x:f>ROUND(C18*D18*E18/360,2)</x:f>
        <x:v>28350</x:v>
      </x:c>
      <x:c r="G18" s="14" t="n">
        <x:f>F18</x:f>
        <x:v>28350</x:v>
      </x:c>
      <x:c r="H18" s="14" t="n">
        <x:f>F18-G18</x:f>
        <x:v>0</x:v>
      </x:c>
      <x:c r="I18" s="14" t="str">
        <x:v>ZINS-2025-Q4 / bezahlt 31.12.2025</x:v>
      </x:c>
    </x:row>
    <x:row r="19" ht="34" customHeight="1">
      <x:c r="A19" s="15" t="n">
        <x:v>14</x:v>
      </x:c>
      <x:c r="B19" s="15" t="str">
        <x:v>01.01.–31.03.2026</x:v>
      </x:c>
      <x:c r="C19" s="15" t="n">
        <x:v>90</x:v>
      </x:c>
      <x:c r="D19" s="15" t="n">
        <x:v>2050000</x:v>
      </x:c>
      <x:c r="E19" s="15" t="n">
        <x:v>0.054</x:v>
      </x:c>
      <x:c r="F19" s="15" t="n">
        <x:f>ROUND(C19*D19*E19/360,2)</x:f>
        <x:v>27675</x:v>
      </x:c>
      <x:c r="G19" s="15" t="n">
        <x:f>F19</x:f>
        <x:v>27675</x:v>
      </x:c>
      <x:c r="H19" s="15" t="n">
        <x:f>F19-G19</x:f>
        <x:v>0</x:v>
      </x:c>
      <x:c r="I19" s="15" t="str">
        <x:v>ZINS-2026-Q1 / bezahlt 31.03.2026</x:v>
      </x:c>
    </x:row>
    <x:row r="20" ht="34" customHeight="1">
      <x:c r="A20" s="14" t="n">
        <x:v>15</x:v>
      </x:c>
      <x:c r="B20" s="14" t="str">
        <x:v>01.04.–30.06.2026</x:v>
      </x:c>
      <x:c r="C20" s="14" t="n">
        <x:v>90</x:v>
      </x:c>
      <x:c r="D20" s="14" t="n">
        <x:v>2000000</x:v>
      </x:c>
      <x:c r="E20" s="14" t="n">
        <x:v>0.054</x:v>
      </x:c>
      <x:c r="F20" s="14" t="n">
        <x:f>ROUND(C20*D20*E20/360,2)</x:f>
        <x:v>27000</x:v>
      </x:c>
      <x:c r="G20" s="14" t="n">
        <x:v>0</x:v>
      </x:c>
      <x:c r="H20" s="14" t="n">
        <x:f>F20-G20</x:f>
        <x:v>27000</x:v>
      </x:c>
      <x:c r="I20" s="14" t="str">
        <x:v>ZINS-2026-Q2 / fällig 30.06.2026, unbezahlt</x:v>
      </x:c>
    </x:row>
    <x:row r="21" ht="34" customHeight="1">
      <x:c r="A21" s="15" t="n">
        <x:v>16</x:v>
      </x:c>
      <x:c r="B21" s="15" t="str">
        <x:v>01.07.–19.08.2026</x:v>
      </x:c>
      <x:c r="C21" s="15" t="n">
        <x:v>49</x:v>
      </x:c>
      <x:c r="D21" s="15" t="n">
        <x:v>2000000</x:v>
      </x:c>
      <x:c r="E21" s="15" t="n">
        <x:v>0.054</x:v>
      </x:c>
      <x:c r="F21" s="15" t="n">
        <x:f>ROUND(C21*D21*E21/360,2)</x:f>
        <x:v>14700</x:v>
      </x:c>
      <x:c r="G21" s="15" t="n">
        <x:v>0</x:v>
      </x:c>
      <x:c r="H21" s="15" t="n">
        <x:f>F21-G21</x:f>
        <x:v>14700</x:v>
      </x:c>
      <x:c r="I21" s="15" t="str">
        <x:v>laufender Vertragszins bis Fälligstellung</x:v>
      </x:c>
    </x:row>
    <x:row r="22" ht="34" customHeight="1">
      <x:c r="A22" s="14" t="n">
        <x:v>17</x:v>
      </x:c>
      <x:c r="B22" s="14" t="str">
        <x:v>01.07.–19.08.2026</x:v>
      </x:c>
      <x:c r="C22" s="14" t="n">
        <x:v>49</x:v>
      </x:c>
      <x:c r="D22" s="14" t="n">
        <x:v>77000</x:v>
      </x:c>
      <x:c r="E22" s="14" t="n">
        <x:v>0.104</x:v>
      </x:c>
      <x:c r="F22" s="14" t="n">
        <x:f>ROUND(C22*D22*E22/360,2)</x:f>
        <x:v>1089.98</x:v>
      </x:c>
      <x:c r="G22" s="14" t="n">
        <x:v>0</x:v>
      </x:c>
      <x:c r="H22" s="14" t="n">
        <x:f>F22-G22</x:f>
        <x:v>1089.98</x:v>
      </x:c>
      <x:c r="I22" s="14" t="str">
        <x:v>Verzugszins auf Rate 50.000 + Quartalszins 27.000</x:v>
      </x:c>
    </x:row>
    <x:row r="23" ht="34" customHeight="1">
      <x:c r="A23" s="15" t="n">
        <x:v>18</x:v>
      </x:c>
      <x:c r="B23" s="15" t="str">
        <x:v>20.08.–14.09.2026</x:v>
      </x:c>
      <x:c r="C23" s="15" t="n">
        <x:v>25</x:v>
      </x:c>
      <x:c r="D23" s="15" t="n">
        <x:v>2000000</x:v>
      </x:c>
      <x:c r="E23" s="15" t="n">
        <x:v>0.104</x:v>
      </x:c>
      <x:c r="F23" s="15" t="n">
        <x:f>ROUND(C23*D23*E23/360,2)</x:f>
        <x:v>14444.44</x:v>
      </x:c>
      <x:c r="G23" s="15" t="n">
        <x:v>0</x:v>
      </x:c>
      <x:c r="H23" s="15" t="n">
        <x:f>F23-G23</x:f>
        <x:v>14444.44</x:v>
      </x:c>
      <x:c r="I23" s="15" t="str">
        <x:v>Gesamtverzugszins nach Zugang der Fälligstellung</x:v>
      </x:c>
    </x:row>
    <x:row r="24" ht="34" customHeight="1">
      <x:c r="A24" s="14" t="str">
        <x:v>Kontrolle</x:v>
      </x:c>
      <x:c r="B24" s="14" t="str">
        <x:v>bis Eröffnung 15.09.2026, 09:00</x:v>
      </x:c>
      <x:c r="C24" s="14" t="str"/>
      <x:c r="D24" s="14" t="str"/>
      <x:c r="E24" s="14" t="str"/>
      <x:c r="F24" s="14" t="n">
        <x:f>SUM(F6:F23)</x:f>
        <x:v>418494.42</x:v>
      </x:c>
      <x:c r="G24" s="14" t="n">
        <x:f>SUM(G6:G23)</x:f>
        <x:v>361260</x:v>
      </x:c>
      <x:c r="H24" s="14" t="n">
        <x:f>SUM(H6:H23)</x:f>
        <x:v>57234.420000000006</x:v>
      </x:c>
      <x:c r="I24" s="14" t="str">
        <x:v>Soll = bezahlt + offen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24" hidden="0" customWidth="1"/>
    <x:col min="6" max="6" width="30" hidden="0" customWidth="1"/>
  </x:cols>
  <x:sheetData>
    <x:row r="1" ht="24" customHeight="1">
      <x:c r="A1" s="4" t="str">
        <x:v>Darlehenskonto RK-2023-4471 und Forderungsstand zur Verfahrenseröffnung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Das Bearbeitungsentgelt wurde als eigene Kontobelastung vereinnahmt; es mindert weder die Bruttoziehung noch die Darlehenshauptforderung.</x:v>
      </x:c>
      <x:c r="B3" s="8"/>
      <x:c r="C3" s="8"/>
      <x:c r="D3" s="8"/>
      <x:c r="E3" s="8"/>
      <x:c r="F3" s="8"/>
    </x:row>
    <x:row r="5" ht="36" customHeight="1">
      <x:c r="A5" s="11" t="str">
        <x:v>Vorgang</x:v>
      </x:c>
      <x:c r="B5" s="11" t="str">
        <x:v>Bruttokapital EUR</x:v>
      </x:c>
      <x:c r="C5" s="11" t="str">
        <x:v>separate Gebühr EUR</x:v>
      </x:c>
      <x:c r="D5" s="11" t="str">
        <x:v>Netto-Liquidität EUR</x:v>
      </x:c>
      <x:c r="E5" s="11" t="str">
        <x:v>Kontrolle</x:v>
      </x:c>
      <x:c r="F5" s="11" t="str">
        <x:v>Beleg</x:v>
      </x:c>
    </x:row>
    <x:row r="6" ht="34" customHeight="1">
      <x:c r="A6" s="14" t="str">
        <x:v>Tranche 1 / 20.03.2023</x:v>
      </x:c>
      <x:c r="B6" s="14" t="n">
        <x:v>1600000</x:v>
      </x:c>
      <x:c r="C6" s="14" t="n">
        <x:v>18000</x:v>
      </x:c>
      <x:c r="D6" s="14" t="n">
        <x:f>B6-C6</x:f>
        <x:v>1582000</x:v>
      </x:c>
      <x:c r="E6" s="14" t="str">
        <x:f>IF(B6=C6+D6,"OK","FEHLER")</x:f>
        <x:v>OK</x:v>
      </x:c>
      <x:c r="F6" s="14" t="str">
        <x:v>Belege 13, 14 und 17</x:v>
      </x:c>
    </x:row>
    <x:row r="7" ht="34" customHeight="1">
      <x:c r="A7" s="15" t="str">
        <x:v>Tranche 2 / 03.07.2023</x:v>
      </x:c>
      <x:c r="B7" s="15" t="n">
        <x:v>800000</x:v>
      </x:c>
      <x:c r="C7" s="15" t="n">
        <x:v>0</x:v>
      </x:c>
      <x:c r="D7" s="15" t="n">
        <x:f>B7-C7</x:f>
        <x:v>800000</x:v>
      </x:c>
      <x:c r="E7" s="15" t="str">
        <x:f>IF(B7=C7+D7,"OK","FEHLER")</x:f>
        <x:v>OK</x:v>
      </x:c>
      <x:c r="F7" s="15" t="str">
        <x:v>Belege 14, 16 und 17</x:v>
      </x:c>
    </x:row>
    <x:row r="8" ht="34" customHeight="1">
      <x:c r="A8" s="14" t="str">
        <x:v>Gesamt</x:v>
      </x:c>
      <x:c r="B8" s="14" t="n">
        <x:f>SUM(B6:B7)</x:f>
        <x:v>2400000</x:v>
      </x:c>
      <x:c r="C8" s="14" t="n">
        <x:f>SUM(C6:C7)</x:f>
        <x:v>18000</x:v>
      </x:c>
      <x:c r="D8" s="14" t="n">
        <x:f>SUM(D6:D7)</x:f>
        <x:v>2382000</x:v>
      </x:c>
      <x:c r="E8" s="14" t="str">
        <x:f>IF(B8=C8+D8,"OK","FEHLER")</x:f>
        <x:v>OK</x:v>
      </x:c>
      <x:c r="F8" s="14" t="str">
        <x:v>2.400.000 = 18.000 + 2.382.000 EUR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9" hidden="0" customWidth="1"/>
    <x:col min="2" max="2" width="37" hidden="0" customWidth="1"/>
    <x:col min="3" max="3" width="42" hidden="0" customWidth="1"/>
    <x:col min="4" max="4" width="20" hidden="0" customWidth="1"/>
    <x:col min="5" max="5" width="48" hidden="0" customWidth="1"/>
  </x:cols>
  <x:sheetData>
    <x:row r="1" ht="24" customHeight="1">
      <x:c r="A1" s="4" t="str">
        <x:v>Darlehenskonto RK-2023-4471 und Forderungsstand zur Verfahrenseröffnung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Forderungsstand der Bank unmittelbar vor Verfahrenseröffnung; nach Verfahrenseröffnung anfallende Zinsen und Kosten sind nicht eingerechnet. Die Aufstellung ist weder Anerkenntnis der insolvenzrechtlichen Einordnung noch Nachweis eines Absonderungsrechts oder einer zulässigen Verwertung.</x:v>
      </x:c>
      <x:c r="B3" s="8"/>
      <x:c r="C3" s="8"/>
      <x:c r="D3" s="8"/>
      <x:c r="E3" s="8"/>
    </x:row>
    <x:row r="5" ht="36" customHeight="1">
      <x:c r="A5" s="11" t="str">
        <x:v>Position</x:v>
      </x:c>
      <x:c r="B5" s="11" t="str">
        <x:v>Betrag EUR</x:v>
      </x:c>
      <x:c r="C5" s="11" t="str">
        <x:v>Formel/Quelle</x:v>
      </x:c>
      <x:c r="D5" s="11" t="str">
        <x:v>Status</x:v>
      </x:c>
      <x:c r="E5" s="11" t="str">
        <x:v>Rechtlicher Prüfpunkt</x:v>
      </x:c>
    </x:row>
    <x:row r="6" ht="34" customHeight="1">
      <x:c r="A6" s="14" t="str">
        <x:v>Darlehenskapital</x:v>
      </x:c>
      <x:c r="B6" s="14" t="n">
        <x:f>Kapitalbewegungen!F16</x:f>
        <x:v>2000000</x:v>
      </x:c>
      <x:c r="C6" s="14" t="str">
        <x:v>2.400.000 Ziehungen abzüglich 400.000 Tilgungen</x:v>
      </x:c>
      <x:c r="D6" s="14" t="str">
        <x:v>fällig gestellt</x:v>
      </x:c>
      <x:c r="E6" s="14" t="str">
        <x:v>Wirksamkeit und Reichweite der Kündigung prüfen</x:v>
      </x:c>
    </x:row>
    <x:row r="7" ht="34" customHeight="1">
      <x:c r="A7" s="15" t="str">
        <x:v>Zinsen bis Eröffnung</x:v>
      </x:c>
      <x:c r="B7" s="15" t="n">
        <x:f>Zinsen_Gebuehren!H24</x:f>
        <x:v>57234.420000000006</x:v>
      </x:c>
      <x:c r="C7" s="15" t="str">
        <x:v>Kontoblatt Zinsen_Gebuehren</x:v>
      </x:c>
      <x:c r="D7" s="15" t="str">
        <x:v>offen</x:v>
      </x:c>
      <x:c r="E7" s="15" t="str">
        <x:v>Zinslauf und 30/360-Abgrenzung prüfen</x:v>
      </x:c>
    </x:row>
    <x:row r="8" ht="34" customHeight="1">
      <x:c r="A8" s="14" t="str">
        <x:v>Bearbeitungsentgelt</x:v>
      </x:c>
      <x:c r="B8" s="14" t="n">
        <x:v>0</x:v>
      </x:c>
      <x:c r="C8" s="14" t="str">
        <x:v>18.000 EUR am 20.03.2023 vollständig verbucht</x:v>
      </x:c>
      <x:c r="D8" s="14" t="str">
        <x:v>kein offener Betrag</x:v>
      </x:c>
      <x:c r="E8" s="14" t="str">
        <x:v>keine erneute Addition zur Hauptforderung</x:v>
      </x:c>
    </x:row>
    <x:row r="9" ht="34" customHeight="1">
      <x:c r="A9" s="15" t="str">
        <x:v>Gesamtforderung vor Sicherheitenanrechnung</x:v>
      </x:c>
      <x:c r="B9" s="15" t="n">
        <x:f>SUM(B6:B8)</x:f>
        <x:v>2057234.42</x:v>
      </x:c>
      <x:c r="C9" s="15" t="str">
        <x:v>Kapital plus offene Zinsen</x:v>
      </x:c>
      <x:c r="D9" s="15" t="str">
        <x:v>zur Tabelle angemeldet</x:v>
      </x:c>
      <x:c r="E9" s="15" t="str">
        <x:v>Feststellung im Insolvenzverfahren offen</x:v>
      </x:c>
    </x:row>
    <x:row r="10" ht="34" customHeight="1">
      <x:c r="A10" s="14" t="str">
        <x:v>bei der Bank eingegangene Sicherheitenerlöse</x:v>
      </x:c>
      <x:c r="B10" s="14" t="n">
        <x:v>0</x:v>
      </x:c>
      <x:c r="C10" s="14" t="str">
        <x:v>Sicherheitenkonto bis 22.10.2026 ohne Eingang</x:v>
      </x:c>
      <x:c r="D10" s="14" t="str">
        <x:v>keine Anrechnung</x:v>
      </x:c>
      <x:c r="E10" s="14" t="str">
        <x:v>Masseeingänge und Erlöszuordnung gesondert prüfen</x:v>
      </x:c>
    </x:row>
    <x:row r="11" ht="34" customHeight="1">
      <x:c r="A11" s="15" t="str">
        <x:v>Nettoforderung nach Bankeingängen</x:v>
      </x:c>
      <x:c r="B11" s="15" t="n">
        <x:f>B9-B10</x:f>
        <x:v>2057234.42</x:v>
      </x:c>
      <x:c r="C11" s="15" t="str">
        <x:v>keine Zahlung an Bank dokumentiert</x:v>
      </x:c>
      <x:c r="D11" s="15" t="str">
        <x:v>vorläufig</x:v>
      </x:c>
      <x:c r="E11" s="15" t="str">
        <x:v>Sicherheitenabrechnung Blatt 21 bleibt fortzuschreiben</x:v>
      </x:c>
    </x:row>
    <x:row r="12" ht="34" customHeight="1">
      <x:c r="A12" s="14" t="str">
        <x:v>Kontrolle</x:v>
      </x:c>
      <x:c r="B12" s="14" t="str">
        <x:f>IF(ROUND(B11,2)=2057234.42,"OK","FEHLER")</x:f>
        <x:v>OK</x:v>
      </x:c>
      <x:c r="C12" s="14" t="str">
        <x:v>Sollwert 2.057.234,42 EUR</x:v>
      </x:c>
      <x:c r="D12" s="14" t="str">
        <x:v>rechnerisch</x:v>
      </x:c>
      <x:c r="E12" s="14" t="str">
        <x:v>keine Aussage zu Rang oder Durchsetzbarkeit</x:v>
      </x:c>
    </x:row>
  </x:sheetData>
  <x:mergeCells>
    <x:mergeCell ref="A1:E2"/>
    <x:mergeCell ref="A3:E3"/>
  </x:mergeCells>
  <x:pageMargins left="0.7" right="0.7" top="0.75" bottom="0.75" header="0.3" footer="0.3"/>
</x:worksheet>
</file>