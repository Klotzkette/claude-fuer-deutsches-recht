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58d49d576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che_1" sheetId="1" r:id="R8eb2108d99794e0e"/>
    <x:sheet xmlns:r="http://schemas.openxmlformats.org/officeDocument/2006/relationships" name="Tranche_2" sheetId="2" r:id="R9b1d42c2b9b74176"/>
    <x:sheet xmlns:r="http://schemas.openxmlformats.org/officeDocument/2006/relationships" name="Freigabeprotokoll" sheetId="3" r:id="Rbf70cc5d75d3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165ef14ab43ee" /><Relationship Type="http://schemas.openxmlformats.org/officeDocument/2006/relationships/theme" Target="/xl/theme/theme1.xml" Id="R813e1436397742ea" /><Relationship Type="http://schemas.openxmlformats.org/officeDocument/2006/relationships/sharedStrings" Target="/xl/sharedStrings.xml" Id="Rb1442fb63de74627" /><Relationship Type="http://schemas.openxmlformats.org/officeDocument/2006/relationships/worksheet" Target="/xl/worksheets/sheet1.xml" Id="R8eb2108d99794e0e" /><Relationship Type="http://schemas.openxmlformats.org/officeDocument/2006/relationships/worksheet" Target="/xl/worksheets/sheet2.xml" Id="R9b1d42c2b9b74176" /><Relationship Type="http://schemas.openxmlformats.org/officeDocument/2006/relationships/worksheet" Target="/xl/worksheets/sheet3.xml" Id="Rbf70cc5d75d34a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48" hidden="0" customWidth="1"/>
    <x:col min="3" max="3" width="37" hidden="0" customWidth="1"/>
    <x:col min="4" max="4" width="48" hidden="0" customWidth="1"/>
    <x:col min="5" max="5" width="48" hidden="0" customWidth="1"/>
    <x:col min="6" max="6" width="48" hidden="0" customWidth="1"/>
    <x:col min="7" max="7" width="34" hidden="0" customWidth="1"/>
    <x:col min="8" max="8" width="41" hidden="0" customWidth="1"/>
  </x:cols>
  <x:sheetData>
    <x:row r="1" ht="24" customHeight="1">
      <x:c r="A1" s="4" t="str">
        <x:v>Anlage 1 zum Darlehensvertrag – Auszahlungsvoraussetzungen und Freigaben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Nr.</x:v>
      </x:c>
      <x:c r="B5" s="11" t="str">
        <x:v>Auszahlungsvoraussetzung</x:v>
      </x:c>
      <x:c r="C5" s="11" t="str">
        <x:v>Sollbeleg</x:v>
      </x:c>
      <x:c r="D5" s="11" t="str">
        <x:v>Fundstelle/Eingang</x:v>
      </x:c>
      <x:c r="E5" s="11" t="str">
        <x:v>Status</x:v>
      </x:c>
      <x:c r="F5" s="11" t="str">
        <x:v>Waiver/Restpunkt</x:v>
      </x:c>
      <x:c r="G5" s="11" t="str">
        <x:v>Prüfer</x:v>
      </x:c>
      <x:c r="H5" s="11" t="str">
        <x:v>Freigabe</x:v>
      </x:c>
    </x:row>
    <x:row r="6" ht="34" customHeight="1">
      <x:c r="A6" s="14" t="n">
        <x:v>1</x:v>
      </x:c>
      <x:c r="B6" s="14" t="str">
        <x:v>Darlehensvertrag RK-2023-4471 und Anlagen 1 bis 4 beiderseits unterzeichnet</x:v>
      </x:c>
      <x:c r="C6" s="14" t="str">
        <x:v>gegenseitige Ausfertigung</x:v>
      </x:c>
      <x:c r="D6" s="14" t="str">
        <x:v>Kreditakte K-01; 15.03.2023</x:v>
      </x:c>
      <x:c r="E6" s="14" t="str">
        <x:v>erfüllt</x:v>
      </x:c>
      <x:c r="F6" s="14" t="str">
        <x:v>kein Vorbehalt</x:v>
      </x:c>
      <x:c r="G6" s="14" t="str">
        <x:v>Jan Küster, 16.03.2023</x:v>
      </x:c>
      <x:c r="H6" s="14" t="str"/>
    </x:row>
    <x:row r="7" ht="34" customHeight="1">
      <x:c r="A7" s="15" t="n">
        <x:v>2</x:v>
      </x:c>
      <x:c r="B7" s="15" t="str">
        <x:v>IP-Sicherungsvertrag samt Anlagen S-1 bis S-3 beiderseits unterzeichnet</x:v>
      </x:c>
      <x:c r="C7" s="15" t="str">
        <x:v>Vertrag und Anlagen</x:v>
      </x:c>
      <x:c r="D7" s="15" t="str">
        <x:v>Sicherheitenakte S-01; 15.03.2023</x:v>
      </x:c>
      <x:c r="E7" s="15" t="str">
        <x:v>erfüllt</x:v>
      </x:c>
      <x:c r="F7" s="15" t="str">
        <x:v>Repository-Pfadabgleich bleibt laufende Informationspflicht</x:v>
      </x:c>
      <x:c r="G7" s="15" t="str">
        <x:v>Silke Brandt, 16.03.2023</x:v>
      </x:c>
      <x:c r="H7" s="15" t="str"/>
    </x:row>
    <x:row r="8" ht="34" customHeight="1">
      <x:c r="A8" s="14" t="n">
        <x:v>3</x:v>
      </x:c>
      <x:c r="B8" s="14" t="str">
        <x:v>Kontoguthabenpfandrecht und Kontoverbindung der Darlehensnehmerin bestätigt</x:v>
      </x:c>
      <x:c r="C8" s="14" t="str">
        <x:v>Pfandanzeige und Kontobestätigung</x:v>
      </x:c>
      <x:c r="D8" s="14" t="str">
        <x:v>Sicherheitenakte S-04; HVoba-Bestätigung 16.03.2023</x:v>
      </x:c>
      <x:c r="E8" s="14" t="str">
        <x:v>erfüllt</x:v>
      </x:c>
      <x:c r="F8" s="14" t="str">
        <x:v>Pfandurkunde ist nicht Bestandteil der vorliegenden IP-Prüfakte</x:v>
      </x:c>
      <x:c r="G8" s="14" t="str">
        <x:v>Jan Küster, 16.03.2023</x:v>
      </x:c>
      <x:c r="H8" s="14" t="str"/>
    </x:row>
    <x:row r="9" ht="34" customHeight="1">
      <x:c r="A9" s="15" t="n">
        <x:v>4</x:v>
      </x:c>
      <x:c r="B9" s="15" t="str">
        <x:v>Geschäftsführerbefugnis und Gesellschafterzustimmung für Kreditaufnahme</x:v>
      </x:c>
      <x:c r="C9" s="15" t="str">
        <x:v>Registerauszug und Gesellschafterbeschluss</x:v>
      </x:c>
      <x:c r="D9" s="15" t="str">
        <x:v>Legal K-03/K-04; 16.03.2023</x:v>
      </x:c>
      <x:c r="E9" s="15" t="str">
        <x:v>erfüllt</x:v>
      </x:c>
      <x:c r="F9" s="15" t="str">
        <x:v>kein Vorbehalt</x:v>
      </x:c>
      <x:c r="G9" s="15" t="str">
        <x:v>Beate Abele, 16.03.2023</x:v>
      </x:c>
      <x:c r="H9" s="15" t="str"/>
    </x:row>
    <x:row r="10" ht="34" customHeight="1">
      <x:c r="A10" s="14" t="n">
        <x:v>5</x:v>
      </x:c>
      <x:c r="B10" s="14" t="str">
        <x:v>Budget Cloud-Migration und Entwicklung mindestens 1.600.000 EUR</x:v>
      </x:c>
      <x:c r="C10" s="14" t="str">
        <x:v>Budget FP-MIG-2023-02</x:v>
      </x:c>
      <x:c r="D10" s="14" t="str">
        <x:v>Finance K-05; 16.03.2023</x:v>
      </x:c>
      <x:c r="E10" s="14" t="str">
        <x:v>erfüllt</x:v>
      </x:c>
      <x:c r="F10" s="14" t="str">
        <x:v>Mittelumschichtungen über zehn Prozent bleiben zustimmungspflichtig</x:v>
      </x:c>
      <x:c r="G10" s="14" t="str">
        <x:v>Silke Brandt, 16.03.2023</x:v>
      </x:c>
      <x:c r="H10" s="14" t="str"/>
    </x:row>
    <x:row r="11" ht="34" customHeight="1">
      <x:c r="A11" s="15" t="n">
        <x:v>6</x:v>
      </x:c>
      <x:c r="B11" s="15" t="str">
        <x:v>Abruf über 1.600.000 EUR mit Empfängerkonto und Verwendungszweck</x:v>
      </x:c>
      <x:c r="C11" s="15" t="str">
        <x:v>Abrufschreiben der Darlehensnehmerin</x:v>
      </x:c>
      <x:c r="D11" s="15" t="str">
        <x:v>05_Finanzierung_Sicherheiten/13_Abruf_Tranche_1.eml; 16.03.2023</x:v>
      </x:c>
      <x:c r="E11" s="15" t="str">
        <x:v>erfüllt</x:v>
      </x:c>
      <x:c r="F11" s="15" t="str">
        <x:v>kein Vorbehalt</x:v>
      </x:c>
      <x:c r="G11" s="15" t="str">
        <x:v>Jan Küster, 17.03.2023</x:v>
      </x:c>
      <x:c r="H11" s="15" t="str"/>
    </x:row>
    <x:row r="12" ht="34" customHeight="1">
      <x:c r="A12" s="14" t="n">
        <x:v>7</x:v>
      </x:c>
      <x:c r="B12" s="14" t="str">
        <x:v>Einzugsermächtigung für Bearbeitungsentgelt 18.000 EUR</x:v>
      </x:c>
      <x:c r="C12" s="14" t="str">
        <x:v>gesonderte Belastungsermächtigung</x:v>
      </x:c>
      <x:c r="D12" s="14" t="str">
        <x:v>Abrufmail Ziffer 3; 16.03.2023</x:v>
      </x:c>
      <x:c r="E12" s="14" t="str">
        <x:v>erfüllt</x:v>
      </x:c>
      <x:c r="F12" s="14" t="str">
        <x:v>Gebühr mindert den Bruttokapitalabruf nicht</x:v>
      </x:c>
      <x:c r="G12" s="14" t="str">
        <x:v>Jan Küster, 17.03.2023</x:v>
      </x:c>
      <x:c r="H12" s="14" t="str"/>
    </x:row>
    <x:row r="13" ht="34" customHeight="1">
      <x:c r="A13" s="15" t="n">
        <x:v>8</x:v>
      </x:c>
      <x:c r="B13" s="15" t="str">
        <x:v>Keine Kündigungstatsache, kein Insolvenzantrag und keine wesentliche nachteilige Veränderung</x:v>
      </x:c>
      <x:c r="C13" s="15" t="str">
        <x:v>Geschäftsführerbestätigung</x:v>
      </x:c>
      <x:c r="D13" s="15" t="str">
        <x:v>Compliance K-07; 16.03.2023</x:v>
      </x:c>
      <x:c r="E13" s="15" t="str">
        <x:v>erfüllt</x:v>
      </x:c>
      <x:c r="F13" s="15" t="str">
        <x:v>Kenntnisstand nur bis Freigabe</x:v>
      </x:c>
      <x:c r="G13" s="15" t="str">
        <x:v>Beate Abele, 17.03.2023</x:v>
      </x:c>
      <x:c r="H13" s="15" t="str"/>
    </x:row>
    <x:row r="14" ht="34" customHeight="1">
      <x:c r="A14" s="14" t="n">
        <x:v>9</x:v>
      </x:c>
      <x:c r="B14" s="14" t="str">
        <x:v>Vier-Augen-Freigabe der Bank</x:v>
      </x:c>
      <x:c r="C14" s="14" t="str">
        <x:v>Freigabevermerk</x:v>
      </x:c>
      <x:c r="D14" s="14" t="str">
        <x:v>Zahlungsworkflow PAY-2023-0317-44</x:v>
      </x:c>
      <x:c r="E14" s="14" t="str">
        <x:v>erfüllt</x:v>
      </x:c>
      <x:c r="F14" s="14" t="str">
        <x:v>Ausführung frühestens 20.03.2023</x:v>
      </x:c>
      <x:c r="G14" s="14" t="str">
        <x:v>Silke Brandt / Beate Abele, 17.03.2023</x:v>
      </x:c>
      <x:c r="H14" s="14" t="str">
        <x:v>17.03.2023, 15:42</x:v>
      </x:c>
    </x:row>
    <x:row r="15" ht="34" customHeight="1">
      <x:c r="A15" s="15" t="str">
        <x:v>Kontrolle</x:v>
      </x:c>
      <x:c r="B15" s="15" t="str"/>
      <x:c r="C15" s="15" t="str"/>
      <x:c r="D15" s="15" t="str"/>
      <x:c r="E15" s="15" t="n">
        <x:f>COUNTIF(E6:E14,"erfüllt")+COUNTIF(E6:E14,"erfüllt mit dokumentierter Abweichung")+COUNTIF(E6:E14,"verzichtet")</x:f>
        <x:v>9</x:v>
      </x:c>
      <x:c r="F15" s="15" t="str">
        <x:v>9 von 9 Voraussetzungen müssen entschieden sein</x:v>
      </x:c>
      <x:c r="G15" s="15" t="n">
        <x:f>COUNTA(G6:G14)</x:f>
        <x:v>9</x:v>
      </x:c>
      <x:c r="H15" s="15" t="str">
        <x:f>IF(AND(E15=9,G15=9),"Freigabefähig","Sperre")</x:f>
        <x:v>Freigabefähig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48" hidden="0" customWidth="1"/>
    <x:col min="3" max="3" width="37" hidden="0" customWidth="1"/>
    <x:col min="4" max="4" width="48" hidden="0" customWidth="1"/>
    <x:col min="5" max="5" width="48" hidden="0" customWidth="1"/>
    <x:col min="6" max="6" width="48" hidden="0" customWidth="1"/>
    <x:col min="7" max="7" width="34" hidden="0" customWidth="1"/>
    <x:col min="8" max="8" width="41" hidden="0" customWidth="1"/>
  </x:cols>
  <x:sheetData>
    <x:row r="1" ht="24" customHeight="1">
      <x:c r="A1" s="4" t="str">
        <x:v>Anlage 1 zum Darlehensvertrag – Auszahlungsvoraussetzungen und Freigaben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Nr.</x:v>
      </x:c>
      <x:c r="B5" s="11" t="str">
        <x:v>Auszahlungsvoraussetzung</x:v>
      </x:c>
      <x:c r="C5" s="11" t="str">
        <x:v>Sollbeleg</x:v>
      </x:c>
      <x:c r="D5" s="11" t="str">
        <x:v>Fundstelle/Eingang</x:v>
      </x:c>
      <x:c r="E5" s="11" t="str">
        <x:v>Status</x:v>
      </x:c>
      <x:c r="F5" s="11" t="str">
        <x:v>Waiver/Restpunkt</x:v>
      </x:c>
      <x:c r="G5" s="11" t="str">
        <x:v>Prüfer</x:v>
      </x:c>
      <x:c r="H5" s="11" t="str">
        <x:v>Freigabe</x:v>
      </x:c>
    </x:row>
    <x:row r="6" ht="34" customHeight="1">
      <x:c r="A6" s="14" t="n">
        <x:v>1</x:v>
      </x:c>
      <x:c r="B6" s="14" t="str">
        <x:v>Ordnungsgemäßer Abruf über 800.000 EUR mindestens einen Bankarbeitstag vor Auszahlung</x:v>
      </x:c>
      <x:c r="C6" s="14" t="str">
        <x:v>Abrufmail</x:v>
      </x:c>
      <x:c r="D6" s="14" t="str">
        <x:v>05_Finanzierung_Sicherheiten/16_Abruf_Tranche_2.eml; 30.06.2023</x:v>
      </x:c>
      <x:c r="E6" s="14" t="str">
        <x:v>erfüllt</x:v>
      </x:c>
      <x:c r="F6" s="14" t="str">
        <x:v>Ausführung am folgenden Bankarbeitstag</x:v>
      </x:c>
      <x:c r="G6" s="14" t="str">
        <x:v>Jan Küster, 30.06.2023</x:v>
      </x:c>
      <x:c r="H6" s="14" t="str"/>
    </x:row>
    <x:row r="7" ht="34" customHeight="1">
      <x:c r="A7" s="15" t="n">
        <x:v>2</x:v>
      </x:c>
      <x:c r="B7" s="15" t="str">
        <x:v>Mindestens 1.350.000 EUR förderfähige Verwendung der ersten Tranche nachgewiesen</x:v>
      </x:c>
      <x:c r="C7" s="15" t="str">
        <x:v>Mittelverwendungsübersicht und Belegliste</x:v>
      </x:c>
      <x:c r="D7" s="15" t="str">
        <x:v>05_Finanzierung_Sicherheiten/15_Verwendungsnachweis_Tranche_1.pdf; 29.06.2023</x:v>
      </x:c>
      <x:c r="E7" s="15" t="str">
        <x:v>erfüllt</x:v>
      </x:c>
      <x:c r="F7" s="15" t="str">
        <x:v>anerkannt 1.438.600 EUR; Marketingrechnung 42.000 EUR nicht angerechnet</x:v>
      </x:c>
      <x:c r="G7" s="15" t="str">
        <x:v>Silke Brandt, 30.06.2023</x:v>
      </x:c>
      <x:c r="H7" s="15" t="str"/>
    </x:row>
    <x:row r="8" ht="34" customHeight="1">
      <x:c r="A8" s="14" t="n">
        <x:v>3</x:v>
      </x:c>
      <x:c r="B8" s="14" t="str">
        <x:v>Cloud-Migrationsmeilenstein M2 technisch abgenommen</x:v>
      </x:c>
      <x:c r="C8" s="14" t="str">
        <x:v>Abnahmeprotokoll M2</x:v>
      </x:c>
      <x:c r="D8" s="14" t="str">
        <x:v>Tech CP-2.3; 28.06.2023</x:v>
      </x:c>
      <x:c r="E8" s="14" t="str">
        <x:v>erfüllt</x:v>
      </x:c>
      <x:c r="F8" s="14" t="str">
        <x:v>kein Vorbehalt</x:v>
      </x:c>
      <x:c r="G8" s="14" t="str">
        <x:v>Beate Abele, 30.06.2023</x:v>
      </x:c>
      <x:c r="H8" s="14" t="str"/>
    </x:row>
    <x:row r="9" ht="34" customHeight="1">
      <x:c r="A9" s="15" t="n">
        <x:v>4</x:v>
      </x:c>
      <x:c r="B9" s="15" t="str">
        <x:v>Aktualisiertes Budget für Produktlaunch und Vertriebsausbau</x:v>
      </x:c>
      <x:c r="C9" s="15" t="str">
        <x:v>Budget FP-LAUNCH-2023-06</x:v>
      </x:c>
      <x:c r="D9" s="15" t="str">
        <x:v>Finance CP-2.4; 29.06.2023</x:v>
      </x:c>
      <x:c r="E9" s="15" t="str">
        <x:v>erfüllt</x:v>
      </x:c>
      <x:c r="F9" s="15" t="str">
        <x:v>Budgetobergrenzen bleiben verbindlich</x:v>
      </x:c>
      <x:c r="G9" s="15" t="str">
        <x:v>Silke Brandt, 30.06.2023</x:v>
      </x:c>
      <x:c r="H9" s="15" t="str"/>
    </x:row>
    <x:row r="10" ht="34" customHeight="1">
      <x:c r="A10" s="14" t="n">
        <x:v>5</x:v>
      </x:c>
      <x:c r="B10" s="14" t="str">
        <x:v>Original des Provider-Abnahmebelegs über 76.000 EUR</x:v>
      </x:c>
      <x:c r="C10" s="14" t="str">
        <x:v>Originalrechnung und Abnahme</x:v>
      </x:c>
      <x:c r="D10" s="14" t="str">
        <x:v>Scan vollständig; Original beim Provider angefordert</x:v>
      </x:c>
      <x:c r="E10" s="14" t="str">
        <x:v>verzichtet</x:v>
      </x:c>
      <x:c r="F10" s="14" t="str">
        <x:v>Einmaliger schriftlicher Waiver WA-2023-06-02 vom 30.06.2023; Original bis 14.07.2023 nachzureichen; keine Änderung von Zusicherungen</x:v>
      </x:c>
      <x:c r="G10" s="14" t="str">
        <x:v>Silke Brandt / Beate Abele, 30.06.2023</x:v>
      </x:c>
      <x:c r="H10" s="14" t="str"/>
    </x:row>
    <x:row r="11" ht="34" customHeight="1">
      <x:c r="A11" s="15" t="n">
        <x:v>6</x:v>
      </x:c>
      <x:c r="B11" s="15" t="str">
        <x:v>BWA, Liquiditätsstatus und wiederkehrender Jahresumsatz zum 31.05.2023</x:v>
      </x:c>
      <x:c r="C11" s="15" t="str">
        <x:v>Finanzreporting</x:v>
      </x:c>
      <x:c r="D11" s="15" t="str">
        <x:v>Reporting CP-2.6; 29.06.2023</x:v>
      </x:c>
      <x:c r="E11" s="15" t="str">
        <x:v>erfüllt</x:v>
      </x:c>
      <x:c r="F11" s="15" t="str">
        <x:v>kein Vorbehalt</x:v>
      </x:c>
      <x:c r="G11" s="15" t="str">
        <x:v>Jan Küster, 30.06.2023</x:v>
      </x:c>
      <x:c r="H11" s="15" t="str"/>
    </x:row>
    <x:row r="12" ht="34" customHeight="1">
      <x:c r="A12" s="14" t="n">
        <x:v>7</x:v>
      </x:c>
      <x:c r="B12" s="14" t="str">
        <x:v>Keine fällige Vertragsverletzung und kein Insolvenzantrag</x:v>
      </x:c>
      <x:c r="C12" s="14" t="str">
        <x:v>Geschäftsführerbestätigung</x:v>
      </x:c>
      <x:c r="D12" s="14" t="str">
        <x:v>Compliance CP-2.7; 30.06.2023</x:v>
      </x:c>
      <x:c r="E12" s="14" t="str">
        <x:v>erfüllt</x:v>
      </x:c>
      <x:c r="F12" s="14" t="str">
        <x:v>Kenntnisstand bis Freigabe</x:v>
      </x:c>
      <x:c r="G12" s="14" t="str">
        <x:v>Beate Abele, 30.06.2023</x:v>
      </x:c>
      <x:c r="H12" s="14" t="str"/>
    </x:row>
    <x:row r="13" ht="34" customHeight="1">
      <x:c r="A13" s="15" t="n">
        <x:v>8</x:v>
      </x:c>
      <x:c r="B13" s="15" t="str">
        <x:v>Aktualisierte Repository- und Backupbestätigung</x:v>
      </x:c>
      <x:c r="C13" s="15" t="str">
        <x:v>Hashliste Q2/2023 und Verwahrerbestätigung</x:v>
      </x:c>
      <x:c r="D13" s="15" t="str">
        <x:v>Tech CP-2.8; 29.06.2023</x:v>
      </x:c>
      <x:c r="E13" s="15" t="str">
        <x:v>erfüllt mit dokumentierter Abweichung</x:v>
      </x:c>
      <x:c r="F13" s="15" t="str">
        <x:v>Receipt-Capture-Repository noch nicht angelegt; nach Anlage S-2 nicht Auszahlungshindernis</x:v>
      </x:c>
      <x:c r="G13" s="15" t="str">
        <x:v>Jan Küster, 30.06.2023</x:v>
      </x:c>
      <x:c r="H13" s="15" t="str"/>
    </x:row>
    <x:row r="14" ht="34" customHeight="1">
      <x:c r="A14" s="14" t="n">
        <x:v>9</x:v>
      </x:c>
      <x:c r="B14" s="14" t="str">
        <x:v>Vier-Augen-Freigabe der Bank</x:v>
      </x:c>
      <x:c r="C14" s="14" t="str">
        <x:v>Freigabevermerk</x:v>
      </x:c>
      <x:c r="D14" s="14" t="str">
        <x:v>Zahlungsworkflow PAY-2023-0630-19</x:v>
      </x:c>
      <x:c r="E14" s="14" t="str">
        <x:v>erfüllt</x:v>
      </x:c>
      <x:c r="F14" s="14" t="str">
        <x:v>Bruttovaluta 800.000 EUR; keine weitere Gebühr</x:v>
      </x:c>
      <x:c r="G14" s="14" t="str">
        <x:v>Silke Brandt / Beate Abele, 30.06.2023</x:v>
      </x:c>
      <x:c r="H14" s="14" t="str">
        <x:v>30.06.2023, 15:42</x:v>
      </x:c>
    </x:row>
    <x:row r="15" ht="34" customHeight="1">
      <x:c r="A15" s="15" t="str">
        <x:v>Kontrolle</x:v>
      </x:c>
      <x:c r="B15" s="15" t="str"/>
      <x:c r="C15" s="15" t="str"/>
      <x:c r="D15" s="15" t="str"/>
      <x:c r="E15" s="15" t="n">
        <x:f>COUNTIF(E6:E14,"erfüllt")+COUNTIF(E6:E14,"erfüllt mit dokumentierter Abweichung")+COUNTIF(E6:E14,"verzichtet")</x:f>
        <x:v>9</x:v>
      </x:c>
      <x:c r="F15" s="15" t="str">
        <x:v>9 von 9 Voraussetzungen müssen entschieden sein</x:v>
      </x:c>
      <x:c r="G15" s="15" t="n">
        <x:f>COUNTA(G6:G14)</x:f>
        <x:v>9</x:v>
      </x:c>
      <x:c r="H15" s="15" t="str">
        <x:f>IF(AND(E15=9,G15=9),"Freigabefähig","Sperre")</x:f>
        <x:v>Freigabefähig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3" hidden="0" customWidth="1"/>
    <x:col min="5" max="5" width="18" hidden="0" customWidth="1"/>
    <x:col min="6" max="6" width="13" hidden="0" customWidth="1"/>
    <x:col min="7" max="7" width="37" hidden="0" customWidth="1"/>
    <x:col min="8" max="8" width="24" hidden="0" customWidth="1"/>
  </x:cols>
  <x:sheetData>
    <x:row r="1" ht="24" customHeight="1">
      <x:c r="A1" s="4" t="str">
        <x:v>Anlage 1 zum Darlehensvertrag – Auszahlungsvoraussetzungen und Freigaben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Tranche</x:v>
      </x:c>
      <x:c r="B5" s="11" t="str">
        <x:v>Abruf</x:v>
      </x:c>
      <x:c r="C5" s="11" t="str">
        <x:v>Bruttokapital EUR</x:v>
      </x:c>
      <x:c r="D5" s="11" t="str">
        <x:v>Gebühr EUR</x:v>
      </x:c>
      <x:c r="E5" s="11" t="str">
        <x:v>Netto-Liquidität EUR</x:v>
      </x:c>
      <x:c r="F5" s="11" t="str">
        <x:v>CP-Kontrolle</x:v>
      </x:c>
      <x:c r="G5" s="11" t="str">
        <x:v>Freigabe</x:v>
      </x:c>
      <x:c r="H5" s="11" t="str">
        <x:v>Ausführung</x:v>
      </x:c>
    </x:row>
    <x:row r="6" ht="34" customHeight="1">
      <x:c r="A6" s="14" t="n">
        <x:v>1</x:v>
      </x:c>
      <x:c r="B6" s="14" t="str">
        <x:v>16.03.2023</x:v>
      </x:c>
      <x:c r="C6" s="14" t="n">
        <x:v>1600000</x:v>
      </x:c>
      <x:c r="D6" s="14" t="n">
        <x:v>18000</x:v>
      </x:c>
      <x:c r="E6" s="14" t="n">
        <x:f>C6-D6</x:f>
        <x:v>1582000</x:v>
      </x:c>
      <x:c r="F6" s="14" t="str">
        <x:f>Tranche_1!H14</x:f>
        <x:v>17.03.2023, 15:42</x:v>
      </x:c>
      <x:c r="G6" s="14" t="str">
        <x:v>Silke Brandt / Beate Abele, 17.03.2023</x:v>
      </x:c>
      <x:c r="H6" s="14" t="str">
        <x:v>20.03.2023</x:v>
      </x:c>
    </x:row>
    <x:row r="7" ht="34" customHeight="1">
      <x:c r="A7" s="15" t="n">
        <x:v>2</x:v>
      </x:c>
      <x:c r="B7" s="15" t="str">
        <x:v>30.06.2023</x:v>
      </x:c>
      <x:c r="C7" s="15" t="n">
        <x:v>800000</x:v>
      </x:c>
      <x:c r="D7" s="15" t="n">
        <x:v>0</x:v>
      </x:c>
      <x:c r="E7" s="15" t="n">
        <x:f>C7-D7</x:f>
        <x:v>800000</x:v>
      </x:c>
      <x:c r="F7" s="15" t="str">
        <x:f>Tranche_2!H14</x:f>
        <x:v>30.06.2023, 15:42</x:v>
      </x:c>
      <x:c r="G7" s="15" t="str">
        <x:v>Silke Brandt / Beate Abele, 30.06.2023</x:v>
      </x:c>
      <x:c r="H7" s="15" t="str">
        <x:v>03.07.2023</x:v>
      </x:c>
    </x:row>
    <x:row r="8" ht="34" customHeight="1">
      <x:c r="A8" s="14" t="str">
        <x:v>Kontrolle</x:v>
      </x:c>
      <x:c r="B8" s="14" t="str"/>
      <x:c r="C8" s="14" t="n">
        <x:f>SUM(C6:C7)</x:f>
        <x:v>2400000</x:v>
      </x:c>
      <x:c r="D8" s="14" t="n">
        <x:f>SUM(D6:D7)</x:f>
        <x:v>18000</x:v>
      </x:c>
      <x:c r="E8" s="14" t="n">
        <x:f>SUM(E6:E7)</x:f>
        <x:v>2382000</x:v>
      </x:c>
      <x:c r="F8" s="14" t="str"/>
      <x:c r="G8" s="14" t="str">
        <x:v>Bruttokapital = Netto-Liquidität + Gebühr</x:v>
      </x:c>
      <x:c r="H8" s="14" t="str">
        <x:f>IF(C8=E8+D8,"OK","FEHLER")</x:f>
        <x:v>OK</x:v>
      </x:c>
    </x:row>
  </x:sheetData>
  <x:mergeCells>
    <x:mergeCell ref="A1:H2"/>
    <x:mergeCell ref="A3:H3"/>
  </x:mergeCells>
  <x:pageMargins left="0.7" right="0.7" top="0.75" bottom="0.75" header="0.3" footer="0.3"/>
</x:worksheet>
</file>