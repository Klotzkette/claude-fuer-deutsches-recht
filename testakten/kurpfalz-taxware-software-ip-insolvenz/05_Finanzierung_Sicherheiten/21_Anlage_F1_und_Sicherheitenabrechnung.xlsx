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12c7d3677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-1_Stand_31_01_2024" sheetId="1" r:id="R5d9a22db2a3f4c56"/>
    <x:sheet xmlns:r="http://schemas.openxmlformats.org/officeDocument/2006/relationships" name="Hauptforderung_15_09" sheetId="2" r:id="R0378b279d27b4c37"/>
    <x:sheet xmlns:r="http://schemas.openxmlformats.org/officeDocument/2006/relationships" name="Sicherheiten_22_10" sheetId="3" r:id="Rfa9ec84c0e694124"/>
    <x:sheet xmlns:r="http://schemas.openxmlformats.org/officeDocument/2006/relationships" name="Zahlungseingaenge" sheetId="4" r:id="R3e75475bd5ee4504"/>
    <x:sheet xmlns:r="http://schemas.openxmlformats.org/officeDocument/2006/relationships" name="Kontrolle_offene_Punkte" sheetId="5" r:id="R625158791f09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476341ce04270" /><Relationship Type="http://schemas.openxmlformats.org/officeDocument/2006/relationships/theme" Target="/xl/theme/theme1.xml" Id="Rc3b9c7d91f08449c" /><Relationship Type="http://schemas.openxmlformats.org/officeDocument/2006/relationships/sharedStrings" Target="/xl/sharedStrings.xml" Id="R29e22c810c384bff" /><Relationship Type="http://schemas.openxmlformats.org/officeDocument/2006/relationships/worksheet" Target="/xl/worksheets/sheet1.xml" Id="R5d9a22db2a3f4c56" /><Relationship Type="http://schemas.openxmlformats.org/officeDocument/2006/relationships/worksheet" Target="/xl/worksheets/sheet2.xml" Id="R0378b279d27b4c37" /><Relationship Type="http://schemas.openxmlformats.org/officeDocument/2006/relationships/worksheet" Target="/xl/worksheets/sheet3.xml" Id="Rfa9ec84c0e694124" /><Relationship Type="http://schemas.openxmlformats.org/officeDocument/2006/relationships/worksheet" Target="/xl/worksheets/sheet4.xml" Id="R3e75475bd5ee4504" /><Relationship Type="http://schemas.openxmlformats.org/officeDocument/2006/relationships/worksheet" Target="/xl/worksheets/sheet5.xml" Id="R625158791f09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3" hidden="0" customWidth="1"/>
    <x:col min="4" max="4" width="18" hidden="0" customWidth="1"/>
    <x:col min="5" max="5" width="13" hidden="0" customWidth="1"/>
    <x:col min="6" max="6" width="48" hidden="0" customWidth="1"/>
    <x:col min="7" max="7" width="20" hidden="0" customWidth="1"/>
    <x:col min="8" max="8" width="41" hidden="0" customWidth="1"/>
  </x:cols>
  <x:sheetData>
    <x:row r="1" ht="24" customHeight="1">
      <x:c r="A1" s="4" t="str">
        <x:v>Anlage F-1 und vorläufige Sicherheitenabrechnung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 Paraphierte administrative Startliste zur Sicherungsabtretung vom 01.02.2024; die Abtretungsklausel verweist für die Bestimmbarkeit zusätzlich auf das fortlaufende Debitorenregister. Die Liste beantwortet nicht abschließend, ob einzelne Abtretungsverbote, Einwendungen oder spätere Vertragsänderungen die Sicherheit beschränken.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Debitor</x:v>
      </x:c>
      <x:c r="B5" s="11" t="str">
        <x:v>Kunde</x:v>
      </x:c>
      <x:c r="C5" s="11" t="str">
        <x:v>Vertrag</x:v>
      </x:c>
      <x:c r="D5" s="11" t="str">
        <x:v>Leistungsarten</x:v>
      </x:c>
      <x:c r="E5" s="11" t="str">
        <x:v>Vertragsbeginn</x:v>
      </x:c>
      <x:c r="F5" s="11" t="str">
        <x:v>Abtretungsbeschränkung laut Register</x:v>
      </x:c>
      <x:c r="G5" s="11" t="str">
        <x:v>Anzeige vorgesehen</x:v>
      </x:c>
      <x:c r="H5" s="11" t="str">
        <x:v>Stand 31.01.2024</x:v>
      </x:c>
    </x:row>
    <x:row r="6" ht="34" customHeight="1">
      <x:c r="A6" s="14" t="n">
        <x:v>1017</x:v>
      </x:c>
      <x:c r="B6" s="14" t="str">
        <x:v>Müller &amp; Reiter</x:v>
      </x:c>
      <x:c r="C6" s="14" t="str">
        <x:v>MR-2024-01</x:v>
      </x:c>
      <x:c r="D6" s="14" t="str">
        <x:v>Lizenz/Pflege</x:v>
      </x:c>
      <x:c r="E6" s="14" t="str">
        <x:v>01.02.2024</x:v>
      </x:c>
      <x:c r="F6" s="14" t="str">
        <x:v>Zahlungsabtretung zulässig; Vertragsübertragung zustimmungspflichtig</x:v>
      </x:c>
      <x:c r="G6" s="14" t="str">
        <x:v>Top 25</x:v>
      </x:c>
      <x:c r="H6" s="14" t="str">
        <x:v>Vertrag unterzeichnet</x:v>
      </x:c>
    </x:row>
    <x:row r="7" ht="34" customHeight="1">
      <x:c r="A7" s="15" t="n">
        <x:v>1029</x:v>
      </x:c>
      <x:c r="B7" s="15" t="str">
        <x:v>Auer &amp; Hain</x:v>
      </x:c>
      <x:c r="C7" s="15" t="str">
        <x:v>AH-2022-09</x:v>
      </x:c>
      <x:c r="D7" s="15" t="str">
        <x:v>Lizenz/Hosting</x:v>
      </x:c>
      <x:c r="E7" s="15" t="str">
        <x:v>01.10.2022</x:v>
      </x:c>
      <x:c r="F7" s="15" t="str">
        <x:v>Anzeige in Textform vorgesehen</x:v>
      </x:c>
      <x:c r="G7" s="15" t="str">
        <x:v>Top 25</x:v>
      </x:c>
      <x:c r="H7" s="15" t="str">
        <x:v>laufend</x:v>
      </x:c>
    </x:row>
    <x:row r="8" ht="34" customHeight="1">
      <x:c r="A8" s="14" t="n">
        <x:v>1088</x:v>
      </x:c>
      <x:c r="B8" s="14" t="str">
        <x:v>Neckarblick Treuhand</x:v>
      </x:c>
      <x:c r="C8" s="14" t="str">
        <x:v>NT-2023-11</x:v>
      </x:c>
      <x:c r="D8" s="14" t="str">
        <x:v>Lizenz/Pflege</x:v>
      </x:c>
      <x:c r="E8" s="14" t="str">
        <x:v>01.12.2023</x:v>
      </x:c>
      <x:c r="F8" s="14" t="str">
        <x:v>vertragliches Abtretungsverbot vermerkt</x:v>
      </x:c>
      <x:c r="G8" s="14" t="str">
        <x:v>nur nach Legal-Prüfung</x:v>
      </x:c>
      <x:c r="H8" s="14" t="str">
        <x:v>laufend</x:v>
      </x:c>
    </x:row>
    <x:row r="9" ht="34" customHeight="1">
      <x:c r="A9" s="15" t="n">
        <x:v>1112</x:v>
      </x:c>
      <x:c r="B9" s="15" t="str">
        <x:v>Schwarz &amp; Vetter</x:v>
      </x:c>
      <x:c r="C9" s="15" t="str">
        <x:v>SV-2021-03</x:v>
      </x:c>
      <x:c r="D9" s="15" t="str">
        <x:v>Lizenz/Pflege</x:v>
      </x:c>
      <x:c r="E9" s="15" t="str">
        <x:v>01.04.2021</x:v>
      </x:c>
      <x:c r="F9" s="15" t="str">
        <x:v>kein Verbot im Register</x:v>
      </x:c>
      <x:c r="G9" s="15" t="str">
        <x:v>Top 25</x:v>
      </x:c>
      <x:c r="H9" s="15" t="str">
        <x:v>laufend</x:v>
      </x:c>
    </x:row>
    <x:row r="10" ht="34" customHeight="1">
      <x:c r="A10" s="14" t="n">
        <x:v>1134</x:v>
      </x:c>
      <x:c r="B10" s="14" t="str">
        <x:v>Kanzlei Ufer &amp; Sohn</x:v>
      </x:c>
      <x:c r="C10" s="14" t="str">
        <x:v>KU-2020-04</x:v>
      </x:c>
      <x:c r="D10" s="14" t="str">
        <x:v>Jahreslizenz/Support</x:v>
      </x:c>
      <x:c r="E10" s="14" t="str">
        <x:v>01.05.2020</x:v>
      </x:c>
      <x:c r="F10" s="14" t="str">
        <x:v>Einwendungen bleiben erhalten</x:v>
      </x:c>
      <x:c r="G10" s="14" t="str">
        <x:v>Top 25</x:v>
      </x:c>
      <x:c r="H10" s="14" t="str">
        <x:v>laufend</x:v>
      </x:c>
    </x:row>
    <x:row r="11" ht="34" customHeight="1">
      <x:c r="A11" s="15" t="n">
        <x:v>1168</x:v>
      </x:c>
      <x:c r="B11" s="15" t="str">
        <x:v>Steuerteam Plankstadt</x:v>
      </x:c>
      <x:c r="C11" s="15" t="str">
        <x:v>SP-2021-08</x:v>
      </x:c>
      <x:c r="D11" s="15" t="str">
        <x:v>Pflege/Support</x:v>
      </x:c>
      <x:c r="E11" s="15" t="str">
        <x:v>01.09.2021</x:v>
      </x:c>
      <x:c r="F11" s="15" t="str">
        <x:v>kein Verbot im Register</x:v>
      </x:c>
      <x:c r="G11" s="15" t="str">
        <x:v>Top 25</x:v>
      </x:c>
      <x:c r="H11" s="15" t="str">
        <x:v>laufend</x:v>
      </x:c>
    </x:row>
    <x:row r="12" ht="34" customHeight="1">
      <x:c r="A12" s="14" t="n">
        <x:v>1192</x:v>
      </x:c>
      <x:c r="B12" s="14" t="str">
        <x:v>Kanzlei Marktbrücke</x:v>
      </x:c>
      <x:c r="C12" s="14" t="str">
        <x:v>KM-2022-06</x:v>
      </x:c>
      <x:c r="D12" s="14" t="str">
        <x:v>Migration/Pflege</x:v>
      </x:c>
      <x:c r="E12" s="14" t="str">
        <x:v>01.07.2022</x:v>
      </x:c>
      <x:c r="F12" s="14" t="str">
        <x:v>Projektanteile gesondert abzugrenzen</x:v>
      </x:c>
      <x:c r="G12" s="14" t="str">
        <x:v>nach Abgrenzung</x:v>
      </x:c>
      <x:c r="H12" s="14" t="str">
        <x:v>laufend</x:v>
      </x:c>
    </x:row>
    <x:row r="13" ht="34" customHeight="1">
      <x:c r="A13" s="15" t="n">
        <x:v>1211</x:v>
      </x:c>
      <x:c r="B13" s="15" t="str">
        <x:v>Treuhand am Schloss</x:v>
      </x:c>
      <x:c r="C13" s="15" t="str">
        <x:v>TS-2020-12</x:v>
      </x:c>
      <x:c r="D13" s="15" t="str">
        <x:v>Pflege</x:v>
      </x:c>
      <x:c r="E13" s="15" t="str">
        <x:v>01.01.2021</x:v>
      </x:c>
      <x:c r="F13" s="15" t="str">
        <x:v>kein Verbot im Register</x:v>
      </x:c>
      <x:c r="G13" s="15" t="str">
        <x:v>Top 25</x:v>
      </x:c>
      <x:c r="H13" s="15" t="str">
        <x:v>laufend</x:v>
      </x:c>
    </x:row>
    <x:row r="14" ht="34" customHeight="1">
      <x:c r="A14" s="14" t="str">
        <x:v>Kontrolle</x:v>
      </x:c>
      <x:c r="B14" s="14" t="str">
        <x:v>8 Debitoren</x:v>
      </x:c>
      <x:c r="C14" s="14" t="str"/>
      <x:c r="D14" s="14" t="str"/>
      <x:c r="E14" s="14" t="str"/>
      <x:c r="F14" s="14" t="str"/>
      <x:c r="G14" s="14" t="str"/>
      <x:c r="H14" s="14" t="str">
        <x:v>Startliste; spätere Kunden über Monatsregister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9" hidden="0" customWidth="1"/>
    <x:col min="2" max="2" width="37" hidden="0" customWidth="1"/>
    <x:col min="3" max="3" width="42" hidden="0" customWidth="1"/>
    <x:col min="4" max="4" width="13" hidden="0" customWidth="1"/>
    <x:col min="5" max="5" width="47" hidden="0" customWidth="1"/>
  </x:cols>
  <x:sheetData>
    <x:row r="1" ht="24" customHeight="1">
      <x:c r="A1" s="4" t="str">
        <x:v>Anlage F-1 und vorläufige Sicherheitenabrechnung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Übernahme aus Beleg 18; der Betrag ist eine Bankrechnung und keine Feststellung zur Tabelle oder zum Rang.</x:v>
      </x:c>
      <x:c r="B3" s="8"/>
      <x:c r="C3" s="8"/>
      <x:c r="D3" s="8"/>
      <x:c r="E3" s="8"/>
    </x:row>
    <x:row r="5" ht="36" customHeight="1">
      <x:c r="A5" s="11" t="str">
        <x:v>Position</x:v>
      </x:c>
      <x:c r="B5" s="11" t="str">
        <x:v>Betrag EUR</x:v>
      </x:c>
      <x:c r="C5" s="11" t="str">
        <x:v>Quelle</x:v>
      </x:c>
      <x:c r="D5" s="11" t="str">
        <x:v>Anrechnung</x:v>
      </x:c>
      <x:c r="E5" s="11" t="str">
        <x:v>Prüfstatus</x:v>
      </x:c>
    </x:row>
    <x:row r="6" ht="34" customHeight="1">
      <x:c r="A6" s="14" t="str">
        <x:v>Kapital</x:v>
      </x:c>
      <x:c r="B6" s="14" t="n">
        <x:v>2000000</x:v>
      </x:c>
      <x:c r="C6" s="14" t="str">
        <x:v>18_Darlehenskonto_und_Saldo / Kapitalbewegungen</x:v>
      </x:c>
      <x:c r="D6" s="14" t="n">
        <x:v>0</x:v>
      </x:c>
      <x:c r="E6" s="14" t="str">
        <x:v>Fälligkeit und Anmeldung prüfen</x:v>
      </x:c>
    </x:row>
    <x:row r="7" ht="34" customHeight="1">
      <x:c r="A7" s="15" t="str">
        <x:v>offene Zinsen bis Eröffnung</x:v>
      </x:c>
      <x:c r="B7" s="15" t="n">
        <x:v>57234.42</x:v>
      </x:c>
      <x:c r="C7" s="15" t="str">
        <x:v>18_Darlehenskonto_und_Saldo / Zinsen_Gebuehren</x:v>
      </x:c>
      <x:c r="D7" s="15" t="n">
        <x:v>0</x:v>
      </x:c>
      <x:c r="E7" s="15" t="str">
        <x:v>Berechnung und insolvenzrechtliche Behandlung prüfen</x:v>
      </x:c>
    </x:row>
    <x:row r="8" ht="34" customHeight="1">
      <x:c r="A8" s="14" t="str">
        <x:v>Gesamtforderung</x:v>
      </x:c>
      <x:c r="B8" s="14" t="n">
        <x:f>SUM(B6:B7)</x:f>
        <x:v>2057234.42</x:v>
      </x:c>
      <x:c r="C8" s="14" t="str">
        <x:v>Kontrollsumme</x:v>
      </x:c>
      <x:c r="D8" s="14" t="n">
        <x:f>SUM(D6:D7)</x:f>
        <x:v>0</x:v>
      </x:c>
      <x:c r="E8" s="14" t="str">
        <x:v>vorläufig 2.057.234,42 EUR</x:v>
      </x:c>
    </x:row>
    <x:row r="9" ht="34" customHeight="1">
      <x:c r="A9" s="15" t="str">
        <x:v>bei Bank eingegangene Sicherheitenerlöse</x:v>
      </x:c>
      <x:c r="B9" s="15" t="n">
        <x:v>0</x:v>
      </x:c>
      <x:c r="C9" s="15" t="str">
        <x:v>Sicherheitenkonto ...2208</x:v>
      </x:c>
      <x:c r="D9" s="15" t="n">
        <x:v>0</x:v>
      </x:c>
      <x:c r="E9" s="15" t="str">
        <x:v>bis 22.10.2026 kein Eingang</x:v>
      </x:c>
    </x:row>
    <x:row r="10" ht="34" customHeight="1">
      <x:c r="A10" s="14" t="str">
        <x:v>Nettoforderung nach Bankeingängen</x:v>
      </x:c>
      <x:c r="B10" s="14" t="n">
        <x:f>B8-B9</x:f>
        <x:v>2057234.42</x:v>
      </x:c>
      <x:c r="C10" s="14" t="str"/>
      <x:c r="D10" s="14" t="n">
        <x:f>D8+D9</x:f>
        <x:v>0</x:v>
      </x:c>
      <x:c r="E10" s="14" t="str">
        <x:v>keine Anrechnung von Masseeingängen vor Rechtsklärung</x:v>
      </x:c>
    </x:row>
    <x:row r="11" ht="34" customHeight="1">
      <x:c r="A11" s="15" t="str">
        <x:v>IP-Haftungsobergrenze laut Sicherungsvertrag</x:v>
      </x:c>
      <x:c r="B11" s="15" t="n">
        <x:v>3200000</x:v>
      </x:c>
      <x:c r="C11" s="15" t="str">
        <x:v>Vertrag 15.03.2023</x:v>
      </x:c>
      <x:c r="D11" s="15" t="str"/>
      <x:c r="E11" s="15" t="str">
        <x:v>zuzüglich Verwertungskosten; keine Wertzusage</x:v>
      </x:c>
    </x:row>
    <x:row r="12" ht="34" customHeight="1">
      <x:c r="A12" s="14" t="str">
        <x:v>Kontrolle</x:v>
      </x:c>
      <x:c r="B12" s="14" t="str">
        <x:f>IF(ROUND(B10,2)=2057234.42,"OK","FEHLER")</x:f>
        <x:v>OK</x:v>
      </x:c>
      <x:c r="C12" s="14" t="str">
        <x:v>Sollwert</x:v>
      </x:c>
      <x:c r="D12" s="14" t="str"/>
      <x:c r="E12" s="14" t="str">
        <x:v>rechnerisch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1" hidden="0" customWidth="1"/>
    <x:col min="2" max="2" width="19" hidden="0" customWidth="1"/>
    <x:col min="3" max="3" width="16" hidden="0" customWidth="1"/>
    <x:col min="4" max="4" width="14" hidden="0" customWidth="1"/>
    <x:col min="5" max="5" width="28" hidden="0" customWidth="1"/>
    <x:col min="6" max="6" width="48" hidden="0" customWidth="1"/>
  </x:cols>
  <x:sheetData>
    <x:row r="1" ht="24" customHeight="1">
      <x:c r="A1" s="4" t="str">
        <x:v>Anlage F-1 und vorläufige Sicherheitenabrechnung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Arbeitsstand der Bank vom 22.10.2026; Werte verschiedener Gegenstände dürfen ohne Rechts- und Erlöszuordnung nicht addiert oder mit der Hauptforderung saldiert werden. Der APA ist unterzeichnet, aber für den 28.10.2026 noch nicht vollzogen; die vertragliche Kaufpreiszuordnung ist keine anerkannte Sicherheitenbewertung.</x:v>
      </x:c>
      <x:c r="B3" s="8"/>
      <x:c r="C3" s="8"/>
      <x:c r="D3" s="8"/>
      <x:c r="E3" s="8"/>
      <x:c r="F3" s="8"/>
    </x:row>
    <x:row r="5" ht="36" customHeight="1">
      <x:c r="A5" s="11" t="str">
        <x:v>Sicherheit/Position</x:v>
      </x:c>
      <x:c r="B5" s="11" t="str">
        <x:v>Nominal/Indikator EUR</x:v>
      </x:c>
      <x:c r="C5" s="11" t="str">
        <x:v>davon streitig EUR</x:v>
      </x:c>
      <x:c r="D5" s="11" t="str">
        <x:v>Bankeingang EUR</x:v>
      </x:c>
      <x:c r="E5" s="11" t="str">
        <x:v>Stichtag/Quelle</x:v>
      </x:c>
      <x:c r="F5" s="11" t="str">
        <x:v>Einordnung/offener Punkt</x:v>
      </x:c>
    </x:row>
    <x:row r="6" ht="34" customHeight="1">
      <x:c r="A6" s="14" t="str">
        <x:v>Software und Dokumentation</x:v>
      </x:c>
      <x:c r="B6" s="14" t="n">
        <x:v>1050000</x:v>
      </x:c>
      <x:c r="C6" s="14" t="str"/>
      <x:c r="D6" s="14" t="n">
        <x:v>0</x:v>
      </x:c>
      <x:c r="E6" s="14" t="str">
        <x:v>APA-Zuordnung 19.10.2026</x:v>
      </x:c>
      <x:c r="F6" s="14" t="str">
        <x:v>kein Verwertungserlös; Rechteumfang, Vorrang und Erlöszuordnung offen</x:v>
      </x:c>
    </x:row>
    <x:row r="7" ht="34" customHeight="1">
      <x:c r="A7" s="15" t="str">
        <x:v>offene Kundenforderungen brutto</x:v>
      </x:c>
      <x:c r="B7" s="15" t="n">
        <x:v>616450</x:v>
      </x:c>
      <x:c r="C7" s="15" t="n">
        <x:v>97050</x:v>
      </x:c>
      <x:c r="D7" s="15" t="n">
        <x:v>0</x:v>
      </x:c>
      <x:c r="E7" s="15" t="str">
        <x:v>OP-Matrix 30.09.2026</x:v>
      </x:c>
      <x:c r="F7" s="15" t="str">
        <x:v>Nominalwert; Einwendungen und Abtretungsverbote prüfen</x:v>
      </x:c>
    </x:row>
    <x:row r="8" ht="34" customHeight="1">
      <x:c r="A8" s="14" t="str">
        <x:v>davon nach Eröffnung fakturiert</x:v>
      </x:c>
      <x:c r="B8" s="14" t="n">
        <x:v>68420</x:v>
      </x:c>
      <x:c r="C8" s="14" t="str"/>
      <x:c r="D8" s="14" t="n">
        <x:v>0</x:v>
      </x:c>
      <x:c r="E8" s="14" t="str">
        <x:v>OP-Matrix 30.09.2026</x:v>
      </x:c>
      <x:c r="F8" s="14" t="str">
        <x:v>im Bruttobestand enthalten; Entstehung und Massezuordnung prüfen</x:v>
      </x:c>
    </x:row>
    <x:row r="9" ht="34" customHeight="1">
      <x:c r="A9" s="15" t="str">
        <x:v>nach Eröffnung auf Schuldnerkonten eingegangen</x:v>
      </x:c>
      <x:c r="B9" s="15" t="n">
        <x:v>43316</x:v>
      </x:c>
      <x:c r="C9" s="15" t="n">
        <x:v>7140</x:v>
      </x:c>
      <x:c r="D9" s="15" t="n">
        <x:v>0</x:v>
      </x:c>
      <x:c r="E9" s="15" t="str">
        <x:v>Kontoumsatzliste bis 02.10.2026</x:v>
      </x:c>
      <x:c r="F9" s="15" t="str">
        <x:v>7.140 EUR Projektleistung; übrige Abtretungsreichweite ebenfalls offen</x:v>
      </x:c>
    </x:row>
    <x:row r="10" ht="34" customHeight="1">
      <x:c r="A10" s="14" t="str">
        <x:v>Bank-Sicherheitenkonto ...2208</x:v>
      </x:c>
      <x:c r="B10" s="14" t="n">
        <x:v>0</x:v>
      </x:c>
      <x:c r="C10" s="14" t="n">
        <x:v>0</x:v>
      </x:c>
      <x:c r="D10" s="14" t="n">
        <x:v>0</x:v>
      </x:c>
      <x:c r="E10" s="14" t="str">
        <x:v>Kontenstatus 22.10.2026</x:v>
      </x:c>
      <x:c r="F10" s="14" t="str">
        <x:v>kein Drittschuldner zahlte an die Bank</x:v>
      </x:c>
    </x:row>
    <x:row r="11" ht="34" customHeight="1">
      <x:c r="A11" s="15" t="str">
        <x:v>rechnerisch unbestrittener OP-Nominalwert</x:v>
      </x:c>
      <x:c r="B11" s="15" t="n">
        <x:f>B7-C7</x:f>
        <x:v>519400</x:v>
      </x:c>
      <x:c r="C11" s="15" t="n">
        <x:v>0</x:v>
      </x:c>
      <x:c r="D11" s="15" t="n">
        <x:v>0</x:v>
      </x:c>
      <x:c r="E11" s="15" t="str">
        <x:v>616.450 ./. 97.050</x:v>
      </x:c>
      <x:c r="F11" s="15" t="str">
        <x:v>keine Abzinsung, Ausfallquote oder Erlösprognose</x:v>
      </x:c>
    </x:row>
    <x:row r="12" ht="34" customHeight="1">
      <x:c r="A12" s="14" t="str">
        <x:v>APA-Gesamtkaufpreis</x:v>
      </x:c>
      <x:c r="B12" s="14" t="n">
        <x:v>1850000</x:v>
      </x:c>
      <x:c r="C12" s="14" t="str"/>
      <x:c r="D12" s="14" t="n">
        <x:v>0</x:v>
      </x:c>
      <x:c r="E12" s="14" t="str">
        <x:v>unterschriebener APA</x:v>
      </x:c>
      <x:c r="F12" s="14" t="str">
        <x:v>umfasst weitere Assets und Fortführungswerte; Closing offen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13" hidden="0" customWidth="1"/>
    <x:col min="5" max="5" width="13" hidden="0" customWidth="1"/>
    <x:col min="6" max="6" width="21" hidden="0" customWidth="1"/>
    <x:col min="7" max="7" width="13" hidden="0" customWidth="1"/>
    <x:col min="8" max="8" width="45" hidden="0" customWidth="1"/>
  </x:cols>
  <x:sheetData>
    <x:row r="1" ht="24" customHeight="1">
      <x:c r="A1" s="4" t="str">
        <x:v>Anlage F-1 und vorläufige Sicherheitenabrechnung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 Kontrollauszug der acht identifizierten Eingänge; sämtliche Beträge wurden auf Schuldner- oder Massekonten gebucht, nicht an die Bank gezahlt.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Datum</x:v>
      </x:c>
      <x:c r="B5" s="11" t="str">
        <x:v>Kunde</x:v>
      </x:c>
      <x:c r="C5" s="11" t="str">
        <x:v>Rechnung/Zweck</x:v>
      </x:c>
      <x:c r="D5" s="11" t="str">
        <x:v>Betrag EUR</x:v>
      </x:c>
      <x:c r="E5" s="11" t="str">
        <x:v>Kategorie</x:v>
      </x:c>
      <x:c r="F5" s="11" t="str">
        <x:v>Folgekonto</x:v>
      </x:c>
      <x:c r="G5" s="11" t="str">
        <x:v>Bankanrechnung</x:v>
      </x:c>
      <x:c r="H5" s="11" t="str">
        <x:v>Rechts-/Abgrenzungsfrage</x:v>
      </x:c>
    </x:row>
    <x:row r="6" ht="34" customHeight="1">
      <x:c r="A6" s="14" t="str">
        <x:v>16.09.2026</x:v>
      </x:c>
      <x:c r="B6" s="14" t="str">
        <x:v>Kurpfalz Logistik</x:v>
      </x:c>
      <x:c r="C6" s="14" t="str">
        <x:v>KTW-2026-8990</x:v>
      </x:c>
      <x:c r="D6" s="14" t="n">
        <x:v>5117</x:v>
      </x:c>
      <x:c r="E6" s="14" t="str">
        <x:v>Cloud</x:v>
      </x:c>
      <x:c r="F6" s="14" t="str">
        <x:v>Massekonto-Sweep 19.09.</x:v>
      </x:c>
      <x:c r="G6" s="14" t="n">
        <x:v>0</x:v>
      </x:c>
      <x:c r="H6" s="14" t="str">
        <x:v>Abtretung und Absonderung offen</x:v>
      </x:c>
    </x:row>
    <x:row r="7" ht="34" customHeight="1">
      <x:c r="A7" s="15" t="str">
        <x:v>18.09.2026</x:v>
      </x:c>
      <x:c r="B7" s="15" t="str">
        <x:v>Auer &amp; Hain</x:v>
      </x:c>
      <x:c r="C7" s="15" t="str">
        <x:v>KTW-2026-8971</x:v>
      </x:c>
      <x:c r="D7" s="15" t="n">
        <x:v>1725.5</x:v>
      </x:c>
      <x:c r="E7" s="15" t="str">
        <x:v>Lizenz/Hosting</x:v>
      </x:c>
      <x:c r="F7" s="15" t="str">
        <x:v>Massekonto 21.09.</x:v>
      </x:c>
      <x:c r="G7" s="15" t="n">
        <x:v>0</x:v>
      </x:c>
      <x:c r="H7" s="15" t="str">
        <x:v>Abtretung und Einwendungen offen</x:v>
      </x:c>
    </x:row>
    <x:row r="8" ht="34" customHeight="1">
      <x:c r="A8" s="14" t="str">
        <x:v>22.09.2026</x:v>
      </x:c>
      <x:c r="B8" s="14" t="str">
        <x:v>Müller &amp; Reiter</x:v>
      </x:c>
      <x:c r="C8" s="14" t="str">
        <x:v>KTW-2026-8870</x:v>
      </x:c>
      <x:c r="D8" s="14" t="n">
        <x:v>5533.5</x:v>
      </x:c>
      <x:c r="E8" s="14" t="str">
        <x:v>Pflege</x:v>
      </x:c>
      <x:c r="F8" s="14" t="str">
        <x:v>Massekonto-Sweep 23.09.</x:v>
      </x:c>
      <x:c r="G8" s="14" t="n">
        <x:v>0</x:v>
      </x:c>
      <x:c r="H8" s="14" t="str">
        <x:v>Anzeige 2024; Erlöszuordnung offen</x:v>
      </x:c>
    </x:row>
    <x:row r="9" ht="34" customHeight="1">
      <x:c r="A9" s="15" t="str">
        <x:v>24.09.2026</x:v>
      </x:c>
      <x:c r="B9" s="15" t="str">
        <x:v>Weingut Sonnenhang</x:v>
      </x:c>
      <x:c r="C9" s="15" t="str">
        <x:v>Teilzahlung Migration</x:v>
      </x:c>
      <x:c r="D9" s="15" t="n">
        <x:v>7140</x:v>
      </x:c>
      <x:c r="E9" s="15" t="str">
        <x:v>Projekt</x:v>
      </x:c>
      <x:c r="F9" s="15" t="str">
        <x:v>Massekonto 25.09.</x:v>
      </x:c>
      <x:c r="G9" s="15" t="n">
        <x:v>0</x:v>
      </x:c>
      <x:c r="H9" s="15" t="str">
        <x:v>reine Projektforderung möglicherweise nicht erfasst</x:v>
      </x:c>
    </x:row>
    <x:row r="10" ht="34" customHeight="1">
      <x:c r="A10" s="14" t="str">
        <x:v>28.09.2026</x:v>
      </x:c>
      <x:c r="B10" s="14" t="str">
        <x:v>Schwarz &amp; Vetter</x:v>
      </x:c>
      <x:c r="C10" s="14" t="str">
        <x:v>KTW-2026-9002</x:v>
      </x:c>
      <x:c r="D10" s="14" t="n">
        <x:v>3094</x:v>
      </x:c>
      <x:c r="E10" s="14" t="str">
        <x:v>Pflege</x:v>
      </x:c>
      <x:c r="F10" s="14" t="str">
        <x:v>Massekonto-Sweep 30.09.</x:v>
      </x:c>
      <x:c r="G10" s="14" t="n">
        <x:v>0</x:v>
      </x:c>
      <x:c r="H10" s="14" t="str">
        <x:v>Anzeige 2024; Erlöszuordnung offen</x:v>
      </x:c>
    </x:row>
    <x:row r="11" ht="34" customHeight="1">
      <x:c r="A11" s="15" t="str">
        <x:v>01.10.2026</x:v>
      </x:c>
      <x:c r="B11" s="15" t="str">
        <x:v>PfalzForm</x:v>
      </x:c>
      <x:c r="C11" s="15" t="str">
        <x:v>KTW-2026-9121</x:v>
      </x:c>
      <x:c r="D11" s="15" t="n">
        <x:v>9282</x:v>
      </x:c>
      <x:c r="E11" s="15" t="str">
        <x:v>Cloud</x:v>
      </x:c>
      <x:c r="F11" s="15" t="str">
        <x:v>Massekonto-Sweep 02.10.</x:v>
      </x:c>
      <x:c r="G11" s="15" t="n">
        <x:v>0</x:v>
      </x:c>
      <x:c r="H11" s="15" t="str">
        <x:v>später Vertrag; Monatsregister und Anzeige offen</x:v>
      </x:c>
    </x:row>
    <x:row r="12" ht="34" customHeight="1">
      <x:c r="A12" s="14" t="str">
        <x:v>02.10.2026</x:v>
      </x:c>
      <x:c r="B12" s="14" t="str">
        <x:v>Treuhand am Schloss</x:v>
      </x:c>
      <x:c r="C12" s="14" t="str">
        <x:v>Pflege 10/26</x:v>
      </x:c>
      <x:c r="D12" s="14" t="n">
        <x:v>4641</x:v>
      </x:c>
      <x:c r="E12" s="14" t="str">
        <x:v>Pflege</x:v>
      </x:c>
      <x:c r="F12" s="14" t="str">
        <x:v>Massekonto 05.10.</x:v>
      </x:c>
      <x:c r="G12" s="14" t="n">
        <x:v>0</x:v>
      </x:c>
      <x:c r="H12" s="14" t="str">
        <x:v>Entstehung nach Eröffnung prüfen</x:v>
      </x:c>
    </x:row>
    <x:row r="13" ht="34" customHeight="1">
      <x:c r="A13" s="15" t="str">
        <x:v>06.10.2026</x:v>
      </x:c>
      <x:c r="B13" s="15" t="str">
        <x:v>Rheinauer Pumpenbau</x:v>
      </x:c>
      <x:c r="C13" s="15" t="str">
        <x:v>Cloud September Nachlauf</x:v>
      </x:c>
      <x:c r="D13" s="15" t="n">
        <x:v>6783</x:v>
      </x:c>
      <x:c r="E13" s="15" t="str">
        <x:v>Cloud</x:v>
      </x:c>
      <x:c r="F13" s="15" t="str">
        <x:v>Massekonto-Sweep 07.10.</x:v>
      </x:c>
      <x:c r="G13" s="15" t="n">
        <x:v>0</x:v>
      </x:c>
      <x:c r="H13" s="15" t="str">
        <x:v>später Vertrag; Abtretungsreichweite offen</x:v>
      </x:c>
    </x:row>
    <x:row r="14" ht="34" customHeight="1">
      <x:c r="A14" s="14" t="str">
        <x:v>Kontrolle</x:v>
      </x:c>
      <x:c r="B14" s="14" t="str"/>
      <x:c r="C14" s="14" t="str"/>
      <x:c r="D14" s="14" t="n">
        <x:f>SUM(D6:D13)</x:f>
        <x:v>43316</x:v>
      </x:c>
      <x:c r="E14" s="14" t="str"/>
      <x:c r="F14" s="14" t="str"/>
      <x:c r="G14" s="14" t="n">
        <x:f>SUM(G6:G13)</x:f>
        <x:v>0</x:v>
      </x:c>
      <x:c r="H14" s="14" t="str">
        <x:v>43.316 EUR identifiziert; 0 EUR bei Bank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27" hidden="0" customWidth="1"/>
    <x:col min="3" max="3" width="33" hidden="0" customWidth="1"/>
    <x:col min="4" max="4" width="48" hidden="0" customWidth="1"/>
    <x:col min="5" max="5" width="18" hidden="0" customWidth="1"/>
  </x:cols>
  <x:sheetData>
    <x:row r="1" ht="24" customHeight="1">
      <x:c r="A1" s="4" t="str">
        <x:v>Anlage F-1 und vorläufige Sicherheitenabrechnung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Die Liste hält bewusst Rechts- und Tatsachenfragen offen und ist vor jeder Verwertung, Forderungsanmeldung oder Kaufpreisfreigabe fortzuschreiben.</x:v>
      </x:c>
      <x:c r="B3" s="8"/>
      <x:c r="C3" s="8"/>
      <x:c r="D3" s="8"/>
      <x:c r="E3" s="8"/>
    </x:row>
    <x:row r="5" ht="36" customHeight="1">
      <x:c r="A5" s="11" t="str">
        <x:v>Kontrolle/Frage</x:v>
      </x:c>
      <x:c r="B5" s="11" t="str">
        <x:v>Wert/Status</x:v>
      </x:c>
      <x:c r="C5" s="11" t="str">
        <x:v>Formel/Beleg</x:v>
      </x:c>
      <x:c r="D5" s="11" t="str">
        <x:v>Nächster Abgleich</x:v>
      </x:c>
      <x:c r="E5" s="11" t="str">
        <x:v>Verantwortung</x:v>
      </x:c>
    </x:row>
    <x:row r="6" ht="34" customHeight="1">
      <x:c r="A6" s="14" t="str">
        <x:v>Hauptforderung vor Sicherheitenerlösen</x:v>
      </x:c>
      <x:c r="B6" s="14" t="n">
        <x:v>2057234.42</x:v>
      </x:c>
      <x:c r="C6" s="14" t="str">
        <x:v>Blatt Hauptforderung_15_09</x:v>
      </x:c>
      <x:c r="D6" s="14" t="str">
        <x:v>Forderungsanmeldung und Zinsprüfung</x:v>
      </x:c>
      <x:c r="E6" s="14" t="str">
        <x:v>Rhenus / Verwalterin</x:v>
      </x:c>
    </x:row>
    <x:row r="7" ht="34" customHeight="1">
      <x:c r="A7" s="15" t="str">
        <x:v>bei Bank eingegangene Erlöse</x:v>
      </x:c>
      <x:c r="B7" s="15" t="n">
        <x:v>0</x:v>
      </x:c>
      <x:c r="C7" s="15" t="str">
        <x:v>Sicherheitenkonto ...2208</x:v>
      </x:c>
      <x:c r="D7" s="15" t="str">
        <x:v>laufender Kontoabgleich</x:v>
      </x:c>
      <x:c r="E7" s="15" t="str">
        <x:v>Rhenus</x:v>
      </x:c>
    </x:row>
    <x:row r="8" ht="34" customHeight="1">
      <x:c r="A8" s="14" t="str">
        <x:v>identifizierte Masseeingänge</x:v>
      </x:c>
      <x:c r="B8" s="14" t="n">
        <x:f>Zahlungseingaenge!D14</x:f>
        <x:v>43316</x:v>
      </x:c>
      <x:c r="C8" s="14" t="str">
        <x:v>acht Kontobuchungen</x:v>
      </x:c>
      <x:c r="D8" s="14" t="str">
        <x:v>Rechnungs- und Leistungszeiträume einzeln zuordnen</x:v>
      </x:c>
      <x:c r="E8" s="14" t="str">
        <x:v>Verwalterin / Rhenus</x:v>
      </x:c>
    </x:row>
    <x:row r="9" ht="34" customHeight="1">
      <x:c r="A9" s="15" t="str">
        <x:v>Projektanteil in Masseeingängen</x:v>
      </x:c>
      <x:c r="B9" s="15" t="n">
        <x:v>7140</x:v>
      </x:c>
      <x:c r="C9" s="15" t="str">
        <x:v>Weingut Sonnenhang</x:v>
      </x:c>
      <x:c r="D9" s="15" t="str">
        <x:v>Abtretungsumfang nach Vertragsart prüfen</x:v>
      </x:c>
      <x:c r="E9" s="15" t="str">
        <x:v>Legal</x:v>
      </x:c>
    </x:row>
    <x:row r="10" ht="34" customHeight="1">
      <x:c r="A10" s="14" t="str">
        <x:v>unbestrittener OP-Nominalwert rechnerisch</x:v>
      </x:c>
      <x:c r="B10" s="14" t="n">
        <x:f>Sicherheiten_22_10!B11</x:f>
        <x:v>519400</x:v>
      </x:c>
      <x:c r="C10" s="14" t="str">
        <x:v>616.450 ./. 97.050</x:v>
      </x:c>
      <x:c r="D10" s="14" t="str">
        <x:v>Zahlungen, Gutschriften und Ausfallquote aktualisieren</x:v>
      </x:c>
      <x:c r="E10" s="14" t="str">
        <x:v>Finance</x:v>
      </x:c>
    </x:row>
    <x:row r="11" ht="34" customHeight="1">
      <x:c r="A11" s="15" t="str">
        <x:v>IP-Wert</x:v>
      </x:c>
      <x:c r="B11" s="15" t="str">
        <x:v>nicht festgestellt</x:v>
      </x:c>
      <x:c r="C11" s="15" t="str">
        <x:v>APA-Zuordnung 1.050.000 nur Indikator</x:v>
      </x:c>
      <x:c r="D11" s="15" t="str">
        <x:v>Rechtekette, OSS, Vorbestände und Vorrang prüfen</x:v>
      </x:c>
      <x:c r="E11" s="15" t="str">
        <x:v>Legal / Technik</x:v>
      </x:c>
    </x:row>
    <x:row r="12" ht="34" customHeight="1">
      <x:c r="A12" s="14" t="str">
        <x:v>Kündigung und Widerruf Einziehungsbefugnis</x:v>
      </x:c>
      <x:c r="B12" s="14" t="str">
        <x:v>Zugang 20.08.2026 dokumentiert</x:v>
      </x:c>
      <x:c r="C12" s="14" t="str">
        <x:v>Beleg 20</x:v>
      </x:c>
      <x:c r="D12" s="14" t="str">
        <x:v>Wirksamkeit und Insolvenzfolgen prüfen</x:v>
      </x:c>
      <x:c r="E12" s="14" t="str">
        <x:v>Legal</x:v>
      </x:c>
    </x:row>
    <x:row r="13" ht="34" customHeight="1">
      <x:c r="A13" s="15" t="str">
        <x:v>Freigabe oder Bankzustimmung zum APA</x:v>
      </x:c>
      <x:c r="B13" s="15" t="str">
        <x:v>nicht dokumentiert</x:v>
      </x:c>
      <x:c r="C13" s="15" t="str">
        <x:v>Banknotiz 22.10.2026</x:v>
      </x:c>
      <x:c r="D13" s="15" t="str">
        <x:v>vor Closing 28.10.2026 klären</x:v>
      </x:c>
      <x:c r="E13" s="15" t="str">
        <x:v>Verwalterin / Rhenus</x:v>
      </x:c>
    </x:row>
    <x:row r="14" ht="34" customHeight="1">
      <x:c r="A14" s="14" t="str">
        <x:v>Nettoforderung nach tatsächlichen Bankeingängen</x:v>
      </x:c>
      <x:c r="B14" s="14" t="n">
        <x:f>B6-B7</x:f>
        <x:v>2057234.42</x:v>
      </x:c>
      <x:c r="C14" s="14" t="str">
        <x:v>nur Bankeingänge anrechenbar</x:v>
      </x:c>
      <x:c r="D14" s="14" t="str">
        <x:v>nach jeder Zahlung aktualisieren</x:v>
      </x:c>
      <x:c r="E14" s="14" t="str">
        <x:v>Rhenus</x:v>
      </x:c>
    </x:row>
  </x:sheetData>
  <x:mergeCells>
    <x:mergeCell ref="A1:E2"/>
    <x:mergeCell ref="A3:E3"/>
  </x:mergeCells>
  <x:pageMargins left="0.7" right="0.7" top="0.75" bottom="0.75" header="0.3" footer="0.3"/>
</x:worksheet>
</file>