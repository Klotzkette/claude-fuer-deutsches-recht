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2eac680c684a0a" /></Relationships>
</file>

<file path=xl/workbook.xml><?xml version="1.0" encoding="utf-8"?>
<x:workbook xmlns:x="http://schemas.openxmlformats.org/spreadsheetml/2006/main">
  <x:sheets>
    <x:sheet xmlns:r="http://schemas.openxmlformats.org/officeDocument/2006/relationships" name="Zahlungen" sheetId="1" r:id="R00a41b396c79440e"/>
    <x:sheet xmlns:r="http://schemas.openxmlformats.org/officeDocument/2006/relationships" name="Abschluss" sheetId="2" r:id="R95a93de7d9bd4b12"/>
    <x:sheet xmlns:r="http://schemas.openxmlformats.org/officeDocument/2006/relationships" name="Zuordnung" sheetId="3" r:id="R24186039c1f1459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quot;  &quot;"/>
    <x:numFmt numFmtId="201" formatCode="[$-407]#,##0.00_);[Red](#,##0.00);&quot;-&quot;_)"/>
  </x:numFmts>
  <x:fonts count="6">
    <x:font>
      <x:sz val="11"/>
      <x:name val="Carlito"/>
    </x:font>
    <x:font>
      <x:sz val="11"/>
      <x:color rgb="FF171717"/>
      <x:name val="Times New Roman"/>
    </x:font>
    <x:font>
      <x:b/>
      <x:sz val="15"/>
      <x:color rgb="FF171717"/>
      <x:name val="Times New Roman"/>
    </x:font>
    <x:font>
      <x:b/>
      <x:sz val="11"/>
      <x:color rgb="FFFFFFFF"/>
      <x:name val="Times New Roman"/>
    </x:font>
    <x:font>
      <x:sz val="11"/>
      <x:color rgb="FF245C3F"/>
      <x:name val="Times New Roman"/>
    </x:font>
    <x:font>
      <x:b/>
      <x:sz val="11"/>
      <x:color rgb="FF171717"/>
      <x:name val="Times New Roman"/>
    </x:font>
  </x:fonts>
  <x:fills count="4">
    <x:fill>
      <x:patternFill patternType="none"/>
    </x:fill>
    <x:fill>
      <x:patternFill patternType="gray125"/>
    </x:fill>
    <x:fill>
      <x:patternFill patternType="solid">
        <x:fgColor rgb="FF303937"/>
      </x:patternFill>
    </x:fill>
    <x:fill>
      <x:patternFill patternType="solid">
        <x:fgColor rgb="FFE9EFEB"/>
      </x:patternFill>
    </x:fill>
  </x:fills>
  <x:borders count="4">
    <x:border/>
    <x:border>
      <x:bottom style="thin">
        <x:color rgb="FFDDDDDD"/>
      </x:bottom>
    </x:border>
    <x:border>
      <x:top style="thin">
        <x:color rgb="FFDDDDDD"/>
      </x:top>
      <x:bottom style="thin">
        <x:color rgb="FFDDDDDD"/>
      </x:bottom>
    </x:border>
    <x:border>
      <x:top style="thin">
        <x:color rgb="FFDDDDDD"/>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200" fontId="1"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201" fontId="4" fillId="0" borderId="1" xfId="0" applyNumberFormat="1" applyFont="1" applyFill="1" applyBorder="1" applyAlignment="1">
      <x:alignment vertical="center"/>
    </x:xf>
    <x:xf numFmtId="201" fontId="1" fillId="0" borderId="1" xfId="0" applyNumberFormat="1" applyFont="1" applyFill="1" applyBorder="1" applyAlignment="1">
      <x:alignment vertical="center"/>
    </x:xf>
    <x:xf numFmtId="200" fontId="1" fillId="0" borderId="2" xfId="0" applyNumberFormat="1" applyFont="1" applyFill="1" applyBorder="1" applyAlignment="1">
      <x:alignment vertical="center"/>
    </x:xf>
    <x:xf numFmtId="0" fontId="1" fillId="0" borderId="2" xfId="0" applyNumberFormat="1" applyFont="1" applyFill="1" applyBorder="1" applyAlignment="1">
      <x:alignment vertical="center"/>
    </x:xf>
    <x:xf numFmtId="201" fontId="4" fillId="0" borderId="2" xfId="0" applyNumberFormat="1" applyFont="1" applyFill="1" applyBorder="1" applyAlignment="1">
      <x:alignment vertical="center"/>
    </x:xf>
    <x:xf numFmtId="201" fontId="1" fillId="0" borderId="2" xfId="0" applyNumberFormat="1" applyFont="1" applyFill="1" applyBorder="1" applyAlignment="1">
      <x:alignment vertical="center"/>
    </x:xf>
    <x:xf numFmtId="200" fontId="1" fillId="0" borderId="3" xfId="0" applyNumberFormat="1" applyFont="1" applyFill="1" applyBorder="1" applyAlignment="1">
      <x:alignment vertical="center"/>
    </x:xf>
    <x:xf numFmtId="0" fontId="1" fillId="0" borderId="3" xfId="0" applyNumberFormat="1" applyFont="1" applyFill="1" applyBorder="1" applyAlignment="1">
      <x:alignment vertical="center"/>
    </x:xf>
    <x:xf numFmtId="201" fontId="4" fillId="0" borderId="3" xfId="0" applyNumberFormat="1" applyFont="1" applyFill="1" applyBorder="1" applyAlignment="1">
      <x:alignment vertical="center"/>
    </x:xf>
    <x:xf numFmtId="201" fontId="1" fillId="0" borderId="3" xfId="0" applyNumberFormat="1" applyFont="1" applyFill="1" applyBorder="1" applyAlignment="1">
      <x:alignment vertical="center"/>
    </x:xf>
    <x:xf numFmtId="200" fontId="1"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1" fontId="4" fillId="0" borderId="1"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0" fontId="1" fillId="0" borderId="2" xfId="0" applyNumberFormat="1" applyFont="1" applyFill="1" applyBorder="1" applyAlignment="1">
      <x:alignment vertical="center" wrapText="1"/>
    </x:xf>
    <x:xf numFmtId="0" fontId="1" fillId="0" borderId="2" xfId="0" applyNumberFormat="1" applyFont="1" applyFill="1" applyBorder="1" applyAlignment="1">
      <x:alignment vertical="center" wrapText="1"/>
    </x:xf>
    <x:xf numFmtId="201" fontId="4" fillId="0" borderId="2" xfId="0" applyNumberFormat="1" applyFont="1" applyFill="1" applyBorder="1" applyAlignment="1">
      <x:alignment vertical="center" wrapText="1"/>
    </x:xf>
    <x:xf numFmtId="201" fontId="1" fillId="0" borderId="2" xfId="0" applyNumberFormat="1" applyFont="1" applyFill="1" applyBorder="1" applyAlignment="1">
      <x:alignment vertical="center" wrapText="1"/>
    </x:xf>
    <x:xf numFmtId="200" fontId="1" fillId="0" borderId="3"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201" fontId="4" fillId="0" borderId="3" xfId="0" applyNumberFormat="1" applyFont="1" applyFill="1" applyBorder="1" applyAlignment="1">
      <x:alignment vertical="center" wrapText="1"/>
    </x:xf>
    <x:xf numFmtId="201" fontId="1" fillId="0" borderId="3" xfId="0" applyNumberFormat="1" applyFont="1" applyFill="1" applyBorder="1" applyAlignment="1">
      <x:alignment vertical="center" wrapText="1"/>
    </x:xf>
    <x:xf numFmtId="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0" fontId="1" fillId="3" borderId="2" xfId="0" applyNumberFormat="1" applyFont="1" applyFill="1" applyBorder="1" applyAlignment="1">
      <x:alignment vertical="center" wrapText="1"/>
    </x:xf>
    <x:xf numFmtId="201" fontId="1" fillId="3" borderId="2" xfId="0" applyNumberFormat="1" applyFont="1" applyFill="1" applyBorder="1" applyAlignment="1">
      <x:alignment vertical="center" wrapText="1"/>
    </x:xf>
    <x:xf numFmtId="0" fontId="5" fillId="3" borderId="2" xfId="0" applyNumberFormat="1" applyFont="1" applyFill="1" applyBorder="1" applyAlignment="1">
      <x:alignment vertical="center" wrapText="1"/>
    </x:xf>
    <x:xf numFmtId="201" fontId="5" fillId="3" borderId="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b42471924b4d08" /><Relationship Type="http://schemas.openxmlformats.org/officeDocument/2006/relationships/theme" Target="/xl/theme/theme1.xml" Id="Refc65794adb04edd" /><Relationship Type="http://schemas.openxmlformats.org/officeDocument/2006/relationships/sharedStrings" Target="/xl/sharedStrings.xml" Id="Rb7da32d734cf4073" /><Relationship Type="http://schemas.openxmlformats.org/officeDocument/2006/relationships/worksheet" Target="/xl/worksheets/sheet1.xml" Id="R00a41b396c79440e" /><Relationship Type="http://schemas.openxmlformats.org/officeDocument/2006/relationships/worksheet" Target="/xl/worksheets/sheet2.xml" Id="R95a93de7d9bd4b12" /><Relationship Type="http://schemas.openxmlformats.org/officeDocument/2006/relationships/worksheet" Target="/xl/worksheets/sheet3.xml" Id="R24186039c1f145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Pr>
    <ns0:pageSetUpPr fitToPage="1"/>
  </ns0:sheetPr>
  <ns0:sheetViews>
    <ns0:sheetView showGridLines="0" workbookViewId="0">
      <ns0:pane ySplit="4" topLeftCell="A5" activePane="bottomLeft" state="frozen"/>
    </ns0:sheetView>
  </ns0:sheetViews>
  <ns0:sheetFormatPr defaultRowHeight="15"/>
  <ns0:cols>
    <ns0:col min="1" max="1" width="12.779999732971191" hidden="0" customWidth="1"/>
    <ns0:col min="2" max="2" width="14" hidden="0" customWidth="1"/>
    <ns0:col min="3" max="3" width="10.220000267028809" hidden="0" customWidth="1"/>
    <ns0:col min="4" max="4" width="12.5600004196167" hidden="0" customWidth="1"/>
    <ns0:col min="5" max="5" width="13.779999732971191" hidden="0" customWidth="1"/>
    <ns0:col min="6" max="6" width="14" hidden="0" customWidth="1"/>
    <ns0:col min="7" max="7" width="20.670000076293945" hidden="0" customWidth="1"/>
  </ns0:cols>
  <ns0:sheetData>
    <ns0:row r="1" ht="27" customHeight="1">
      <ns0:c r="A1" s="3" t="str">
        <ns0:v>1. Zahlungseingänge Vellio</ns0:v>
      </ns0:c>
      <ns0:c r="B1" s="2"/>
      <ns0:c r="C1" s="2"/>
      <ns0:c r="D1" s="2"/>
      <ns0:c r="E1" s="2"/>
      <ns0:c r="F1" s="2"/>
      <ns0:c r="G1" s="2"/>
    </ns0:row>
    <ns0:row r="2" ht="26" customHeight="1">
      <ns0:c r="A2" s="4" t="str">
        <ns0:v>Nora Wendt | 13.07.2026 | NF-WP-221014-01 | Datenstand: Abschluss 16.04.2024</ns0:v>
      </ns0:c>
      <ns0:c r="B2" s="4"/>
      <ns0:c r="C2" s="4"/>
      <ns0:c r="D2" s="4"/>
      <ns0:c r="E2" s="4"/>
      <ns0:c r="F2" s="4"/>
      <ns0:c r="G2" s="4"/>
    </ns0:row>
    <ns0:row r="3" ht="19" customHeight="1">
      <ns0:c r="A3" s="2"/>
      <ns0:c r="B3" s="2"/>
      <ns0:c r="C3" s="2"/>
      <ns0:c r="D3" s="2"/>
      <ns0:c r="E3" s="2"/>
      <ns0:c r="F3" s="2"/>
      <ns0:c r="G3" s="2"/>
    </ns0:row>
    <ns0:row r="4" ht="28" customHeight="1">
      <ns0:c r="A4" s="7" t="str">
        <ns0:v>Buchung</ns0:v>
      </ns0:c>
      <ns0:c r="B4" s="7" t="str">
        <ns0:v>Referenz B3</ns0:v>
      </ns0:c>
      <ns0:c r="C4" s="7" t="str">
        <ns0:v>Art</ns0:v>
      </ns0:c>
      <ns0:c r="D4" s="7" t="str">
        <ns0:v>Zinsen EUR</ns0:v>
      </ns0:c>
      <ns0:c r="E4" s="7" t="str">
        <ns0:v>Valuta EUR</ns0:v>
      </ns0:c>
      <ns0:c r="F4" s="7" t="str">
        <ns0:v>Gesamt EUR</ns0:v>
      </ns0:c>
      <ns0:c r="G4" s="7" t="str">
        <ns0:v>Empfänger</ns0:v>
      </ns0:c>
    </ns0:row>
    <ns0:row r="5" ht="16" customHeight="1">
      <ns0:c r="A5" s="23" t="n">
        <ns0:v>44880</ns0:v>
      </ns0:c>
      <ns0:c r="B5" s="24" t="str">
        <ns0:v>VF-WP-Z01</ns0:v>
      </ns0:c>
      <ns0:c r="C5" s="24" t="str">
        <ns0:v>Zinsen</ns0:v>
      </ns0:c>
      <ns0:c r="D5" s="25" t="n">
        <ns0:v>5000</ns0:v>
      </ns0:c>
      <ns0:c r="E5" s="25" t="n">
        <ns0:v>0</ns0:v>
      </ns0:c>
      <ns0:c r="F5" s="26" t="n">
        <ns0:f>D5+E5</ns0:f>
        <ns0:v>5000</ns0:v>
      </ns0:c>
      <ns0:c r="G5" s="24" t="str">
        <ns0:v>Vellio Finance GmbH</ns0:v>
      </ns0:c>
    </ns0:row>
    <ns0:row r="6" ht="16" customHeight="1">
      <ns0:c r="A6" s="27" t="n">
        <ns0:v>44910</ns0:v>
      </ns0:c>
      <ns0:c r="B6" s="28" t="str">
        <ns0:v>VF-WP-Z02</ns0:v>
      </ns0:c>
      <ns0:c r="C6" s="28" t="str">
        <ns0:v>Zinsen</ns0:v>
      </ns0:c>
      <ns0:c r="D6" s="29" t="n">
        <ns0:v>5000</ns0:v>
      </ns0:c>
      <ns0:c r="E6" s="29" t="n">
        <ns0:v>0</ns0:v>
      </ns0:c>
      <ns0:c r="F6" s="30" t="n">
        <ns0:f>D6+E6</ns0:f>
        <ns0:v>5000</ns0:v>
      </ns0:c>
      <ns0:c r="G6" s="28" t="str">
        <ns0:v>Vellio Finance GmbH</ns0:v>
      </ns0:c>
    </ns0:row>
    <ns0:row r="7" ht="16" customHeight="1">
      <ns0:c r="A7" s="27" t="n">
        <ns0:v>44942</ns0:v>
      </ns0:c>
      <ns0:c r="B7" s="28" t="str">
        <ns0:v>VF-WP-Z03</ns0:v>
      </ns0:c>
      <ns0:c r="C7" s="28" t="str">
        <ns0:v>Zinsen</ns0:v>
      </ns0:c>
      <ns0:c r="D7" s="29" t="n">
        <ns0:v>5000</ns0:v>
      </ns0:c>
      <ns0:c r="E7" s="29" t="n">
        <ns0:v>0</ns0:v>
      </ns0:c>
      <ns0:c r="F7" s="30" t="n">
        <ns0:f>D7+E7</ns0:f>
        <ns0:v>5000</ns0:v>
      </ns0:c>
      <ns0:c r="G7" s="28" t="str">
        <ns0:v>Vellio Finance GmbH</ns0:v>
      </ns0:c>
    </ns0:row>
    <ns0:row r="8" ht="16" customHeight="1">
      <ns0:c r="A8" s="27" t="n">
        <ns0:v>44972</ns0:v>
      </ns0:c>
      <ns0:c r="B8" s="28" t="str">
        <ns0:v>VF-WP-Z04</ns0:v>
      </ns0:c>
      <ns0:c r="C8" s="28" t="str">
        <ns0:v>Zinsen</ns0:v>
      </ns0:c>
      <ns0:c r="D8" s="29" t="n">
        <ns0:v>5000</ns0:v>
      </ns0:c>
      <ns0:c r="E8" s="29" t="n">
        <ns0:v>0</ns0:v>
      </ns0:c>
      <ns0:c r="F8" s="30" t="n">
        <ns0:f>D8+E8</ns0:f>
        <ns0:v>5000</ns0:v>
      </ns0:c>
      <ns0:c r="G8" s="28" t="str">
        <ns0:v>Vellio Finance GmbH</ns0:v>
      </ns0:c>
    </ns0:row>
    <ns0:row r="9" ht="16" customHeight="1">
      <ns0:c r="A9" s="27" t="n">
        <ns0:v>45000</ns0:v>
      </ns0:c>
      <ns0:c r="B9" s="28" t="str">
        <ns0:v>VF-WP-Z05</ns0:v>
      </ns0:c>
      <ns0:c r="C9" s="28" t="str">
        <ns0:v>Zinsen</ns0:v>
      </ns0:c>
      <ns0:c r="D9" s="29" t="n">
        <ns0:v>5000</ns0:v>
      </ns0:c>
      <ns0:c r="E9" s="29" t="n">
        <ns0:v>0</ns0:v>
      </ns0:c>
      <ns0:c r="F9" s="30" t="n">
        <ns0:f>D9+E9</ns0:f>
        <ns0:v>5000</ns0:v>
      </ns0:c>
      <ns0:c r="G9" s="28" t="str">
        <ns0:v>Vellio Finance GmbH</ns0:v>
      </ns0:c>
    </ns0:row>
    <ns0:row r="10" ht="16" customHeight="1">
      <ns0:c r="A10" s="27" t="n">
        <ns0:v>45033</ns0:v>
      </ns0:c>
      <ns0:c r="B10" s="28" t="str">
        <ns0:v>VF-WP-Z06</ns0:v>
      </ns0:c>
      <ns0:c r="C10" s="28" t="str">
        <ns0:v>Zinsen</ns0:v>
      </ns0:c>
      <ns0:c r="D10" s="29" t="n">
        <ns0:v>5000</ns0:v>
      </ns0:c>
      <ns0:c r="E10" s="29" t="n">
        <ns0:v>0</ns0:v>
      </ns0:c>
      <ns0:c r="F10" s="30" t="n">
        <ns0:f>D10+E10</ns0:f>
        <ns0:v>5000</ns0:v>
      </ns0:c>
      <ns0:c r="G10" s="28" t="str">
        <ns0:v>Vellio Finance GmbH</ns0:v>
      </ns0:c>
    </ns0:row>
    <ns0:row r="11" ht="16" customHeight="1">
      <ns0:c r="A11" s="27" t="n">
        <ns0:v>45061</ns0:v>
      </ns0:c>
      <ns0:c r="B11" s="28" t="str">
        <ns0:v>VF-WP-Z07</ns0:v>
      </ns0:c>
      <ns0:c r="C11" s="28" t="str">
        <ns0:v>Zinsen</ns0:v>
      </ns0:c>
      <ns0:c r="D11" s="29" t="n">
        <ns0:v>5000</ns0:v>
      </ns0:c>
      <ns0:c r="E11" s="29" t="n">
        <ns0:v>0</ns0:v>
      </ns0:c>
      <ns0:c r="F11" s="30" t="n">
        <ns0:f>D11+E11</ns0:f>
        <ns0:v>5000</ns0:v>
      </ns0:c>
      <ns0:c r="G11" s="28" t="str">
        <ns0:v>Vellio Finance GmbH</ns0:v>
      </ns0:c>
    </ns0:row>
    <ns0:row r="12" ht="16" customHeight="1">
      <ns0:c r="A12" s="27" t="n">
        <ns0:v>45092</ns0:v>
      </ns0:c>
      <ns0:c r="B12" s="28" t="str">
        <ns0:v>VF-WP-Z08</ns0:v>
      </ns0:c>
      <ns0:c r="C12" s="28" t="str">
        <ns0:v>Zinsen</ns0:v>
      </ns0:c>
      <ns0:c r="D12" s="29" t="n">
        <ns0:v>5000</ns0:v>
      </ns0:c>
      <ns0:c r="E12" s="29" t="n">
        <ns0:v>0</ns0:v>
      </ns0:c>
      <ns0:c r="F12" s="30" t="n">
        <ns0:f>D12+E12</ns0:f>
        <ns0:v>5000</ns0:v>
      </ns0:c>
      <ns0:c r="G12" s="28" t="str">
        <ns0:v>Vellio Finance GmbH</ns0:v>
      </ns0:c>
    </ns0:row>
    <ns0:row r="13" ht="16" customHeight="1">
      <ns0:c r="A13" s="27" t="n">
        <ns0:v>45124</ns0:v>
      </ns0:c>
      <ns0:c r="B13" s="28" t="str">
        <ns0:v>VF-WP-Z09</ns0:v>
      </ns0:c>
      <ns0:c r="C13" s="28" t="str">
        <ns0:v>Zinsen</ns0:v>
      </ns0:c>
      <ns0:c r="D13" s="29" t="n">
        <ns0:v>5000</ns0:v>
      </ns0:c>
      <ns0:c r="E13" s="29" t="n">
        <ns0:v>0</ns0:v>
      </ns0:c>
      <ns0:c r="F13" s="30" t="n">
        <ns0:f>D13+E13</ns0:f>
        <ns0:v>5000</ns0:v>
      </ns0:c>
      <ns0:c r="G13" s="28" t="str">
        <ns0:v>Vellio Finance GmbH</ns0:v>
      </ns0:c>
    </ns0:row>
    <ns0:row r="14" ht="16" customHeight="1">
      <ns0:c r="A14" s="27" t="n">
        <ns0:v>45154</ns0:v>
      </ns0:c>
      <ns0:c r="B14" s="28" t="str">
        <ns0:v>VF-WP-Z10</ns0:v>
      </ns0:c>
      <ns0:c r="C14" s="28" t="str">
        <ns0:v>Zinsen</ns0:v>
      </ns0:c>
      <ns0:c r="D14" s="29" t="n">
        <ns0:v>5000</ns0:v>
      </ns0:c>
      <ns0:c r="E14" s="29" t="n">
        <ns0:v>0</ns0:v>
      </ns0:c>
      <ns0:c r="F14" s="30" t="n">
        <ns0:f>D14+E14</ns0:f>
        <ns0:v>5000</ns0:v>
      </ns0:c>
      <ns0:c r="G14" s="28" t="str">
        <ns0:v>Vellio Finance GmbH</ns0:v>
      </ns0:c>
    </ns0:row>
    <ns0:row r="15" ht="16" customHeight="1">
      <ns0:c r="A15" s="27" t="n">
        <ns0:v>45184</ns0:v>
      </ns0:c>
      <ns0:c r="B15" s="28" t="str">
        <ns0:v>VF-WP-Z11</ns0:v>
      </ns0:c>
      <ns0:c r="C15" s="28" t="str">
        <ns0:v>Zinsen</ns0:v>
      </ns0:c>
      <ns0:c r="D15" s="29" t="n">
        <ns0:v>5000</ns0:v>
      </ns0:c>
      <ns0:c r="E15" s="29" t="n">
        <ns0:v>0</ns0:v>
      </ns0:c>
      <ns0:c r="F15" s="30" t="n">
        <ns0:f>D15+E15</ns0:f>
        <ns0:v>5000</ns0:v>
      </ns0:c>
      <ns0:c r="G15" s="28" t="str">
        <ns0:v>Vellio Finance GmbH</ns0:v>
      </ns0:c>
    </ns0:row>
    <ns0:row r="16" ht="16" customHeight="1">
      <ns0:c r="A16" s="27" t="n">
        <ns0:v>45215</ns0:v>
      </ns0:c>
      <ns0:c r="B16" s="28" t="str">
        <ns0:v>VF-WP-Z12</ns0:v>
      </ns0:c>
      <ns0:c r="C16" s="28" t="str">
        <ns0:v>Zinsen</ns0:v>
      </ns0:c>
      <ns0:c r="D16" s="29" t="n">
        <ns0:v>5000</ns0:v>
      </ns0:c>
      <ns0:c r="E16" s="29" t="n">
        <ns0:v>0</ns0:v>
      </ns0:c>
      <ns0:c r="F16" s="30" t="n">
        <ns0:f>D16+E16</ns0:f>
        <ns0:v>5000</ns0:v>
      </ns0:c>
      <ns0:c r="G16" s="28" t="str">
        <ns0:v>Vellio Finance GmbH</ns0:v>
      </ns0:c>
    </ns0:row>
    <ns0:row r="17" ht="16" customHeight="1">
      <ns0:c r="A17" s="27" t="n">
        <ns0:v>45245</ns0:v>
      </ns0:c>
      <ns0:c r="B17" s="28" t="str">
        <ns0:v>VF-WP-Z13</ns0:v>
      </ns0:c>
      <ns0:c r="C17" s="28" t="str">
        <ns0:v>Zinsen</ns0:v>
      </ns0:c>
      <ns0:c r="D17" s="29" t="n">
        <ns0:v>5000</ns0:v>
      </ns0:c>
      <ns0:c r="E17" s="29" t="n">
        <ns0:v>0</ns0:v>
      </ns0:c>
      <ns0:c r="F17" s="30" t="n">
        <ns0:f>D17+E17</ns0:f>
        <ns0:v>5000</ns0:v>
      </ns0:c>
      <ns0:c r="G17" s="28" t="str">
        <ns0:v>Vellio Finance GmbH</ns0:v>
      </ns0:c>
    </ns0:row>
    <ns0:row r="18" ht="16" customHeight="1">
      <ns0:c r="A18" s="27" t="n">
        <ns0:v>45275</ns0:v>
      </ns0:c>
      <ns0:c r="B18" s="28" t="str">
        <ns0:v>VF-WP-Z14</ns0:v>
      </ns0:c>
      <ns0:c r="C18" s="28" t="str">
        <ns0:v>Zinsen</ns0:v>
      </ns0:c>
      <ns0:c r="D18" s="29" t="n">
        <ns0:v>5000</ns0:v>
      </ns0:c>
      <ns0:c r="E18" s="29" t="n">
        <ns0:v>0</ns0:v>
      </ns0:c>
      <ns0:c r="F18" s="30" t="n">
        <ns0:f>D18+E18</ns0:f>
        <ns0:v>5000</ns0:v>
      </ns0:c>
      <ns0:c r="G18" s="28" t="str">
        <ns0:v>Vellio Finance GmbH</ns0:v>
      </ns0:c>
    </ns0:row>
    <ns0:row r="19" ht="16" customHeight="1">
      <ns0:c r="A19" s="27" t="n">
        <ns0:v>45306</ns0:v>
      </ns0:c>
      <ns0:c r="B19" s="28" t="str">
        <ns0:v>VF-WP-Z15</ns0:v>
      </ns0:c>
      <ns0:c r="C19" s="28" t="str">
        <ns0:v>Zinsen</ns0:v>
      </ns0:c>
      <ns0:c r="D19" s="29" t="n">
        <ns0:v>5000</ns0:v>
      </ns0:c>
      <ns0:c r="E19" s="29" t="n">
        <ns0:v>0</ns0:v>
      </ns0:c>
      <ns0:c r="F19" s="30" t="n">
        <ns0:f>D19+E19</ns0:f>
        <ns0:v>5000</ns0:v>
      </ns0:c>
      <ns0:c r="G19" s="28" t="str">
        <ns0:v>Vellio Finance GmbH</ns0:v>
      </ns0:c>
    </ns0:row>
    <ns0:row r="20" ht="16" customHeight="1">
      <ns0:c r="A20" s="27" t="n">
        <ns0:v>45337</ns0:v>
      </ns0:c>
      <ns0:c r="B20" s="28" t="str">
        <ns0:v>VF-WP-Z16</ns0:v>
      </ns0:c>
      <ns0:c r="C20" s="28" t="str">
        <ns0:v>Zinsen</ns0:v>
      </ns0:c>
      <ns0:c r="D20" s="29" t="n">
        <ns0:v>5000</ns0:v>
      </ns0:c>
      <ns0:c r="E20" s="29" t="n">
        <ns0:v>0</ns0:v>
      </ns0:c>
      <ns0:c r="F20" s="30" t="n">
        <ns0:f>D20+E20</ns0:f>
        <ns0:v>5000</ns0:v>
      </ns0:c>
      <ns0:c r="G20" s="28" t="str">
        <ns0:v>Vellio Finance GmbH</ns0:v>
      </ns0:c>
    </ns0:row>
    <ns0:row r="21" ht="16" customHeight="1">
      <ns0:c r="A21" s="27" t="n">
        <ns0:v>45366</ns0:v>
      </ns0:c>
      <ns0:c r="B21" s="28" t="str">
        <ns0:v>VF-WP-Z17</ns0:v>
      </ns0:c>
      <ns0:c r="C21" s="28" t="str">
        <ns0:v>Zinsen</ns0:v>
      </ns0:c>
      <ns0:c r="D21" s="29" t="n">
        <ns0:v>5000</ns0:v>
      </ns0:c>
      <ns0:c r="E21" s="29" t="n">
        <ns0:v>0</ns0:v>
      </ns0:c>
      <ns0:c r="F21" s="30" t="n">
        <ns0:f>D21+E21</ns0:f>
        <ns0:v>5000</ns0:v>
      </ns0:c>
      <ns0:c r="G21" s="28" t="str">
        <ns0:v>Vellio Finance GmbH</ns0:v>
      </ns0:c>
    </ns0:row>
    <ns0:row r="22" ht="16" customHeight="1">
      <ns0:c r="A22" s="27" t="n">
        <ns0:v>45397</ns0:v>
      </ns0:c>
      <ns0:c r="B22" s="28" t="str">
        <ns0:v>VF-WP-Z18</ns0:v>
      </ns0:c>
      <ns0:c r="C22" s="28" t="str">
        <ns0:v>Zinsen</ns0:v>
      </ns0:c>
      <ns0:c r="D22" s="29" t="n">
        <ns0:v>5000</ns0:v>
      </ns0:c>
      <ns0:c r="E22" s="29" t="n">
        <ns0:v>0</ns0:v>
      </ns0:c>
      <ns0:c r="F22" s="30" t="n">
        <ns0:f>D22+E22</ns0:f>
        <ns0:v>5000</ns0:v>
      </ns0:c>
      <ns0:c r="G22" s="28" t="str">
        <ns0:v>Vellio Finance GmbH</ns0:v>
      </ns0:c>
    </ns0:row>
    <ns0:row r="23" ht="16" customHeight="1">
      <ns0:c r="A23" s="31" t="n">
        <ns0:v>45397</ns0:v>
      </ns0:c>
      <ns0:c r="B23" s="32" t="str">
        <ns0:v>VF-WP-P01</ns0:v>
      </ns0:c>
      <ns0:c r="C23" s="32" t="str">
        <ns0:v>Endtilgung</ns0:v>
      </ns0:c>
      <ns0:c r="D23" s="33" t="n">
        <ns0:v>0</ns0:v>
      </ns0:c>
      <ns0:c r="E23" s="33" t="n">
        <ns0:v>500000</ns0:v>
      </ns0:c>
      <ns0:c r="F23" s="34" t="n">
        <ns0:f>D23+E23</ns0:f>
        <ns0:v>500000</ns0:v>
      </ns0:c>
      <ns0:c r="G23" s="32" t="str">
        <ns0:v>Vellio Finance GmbH</ns0:v>
      </ns0:c>
    </ns0:row>
    <ns0:row r="24" ht="19" customHeight="1">
      <ns0:c r="A24" s="2"/>
      <ns0:c r="B24" s="2"/>
      <ns0:c r="C24" s="2"/>
      <ns0:c r="D24" s="9"/>
      <ns0:c r="E24" s="9"/>
      <ns0:c r="F24" s="9"/>
      <ns0:c r="G24" s="2"/>
    </ns0:row>
    <ns0:row r="25" ht="24" customHeight="1">
      <ns0:c r="A25" s="37" t="str">
        <ns0:v>Summe</ns0:v>
      </ns0:c>
      <ns0:c r="B25" s="37"/>
      <ns0:c r="C25" s="37"/>
      <ns0:c r="D25" s="38" t="n">
        <ns0:f>SUM(D5:D23)</ns0:f>
        <ns0:v>90000</ns0:v>
      </ns0:c>
      <ns0:c r="E25" s="38" t="n">
        <ns0:f>SUM(E5:E23)</ns0:f>
        <ns0:v>500000</ns0:v>
      </ns0:c>
      <ns0:c r="F25" s="38" t="n">
        <ns0:f>SUM(F5:F23)</ns0:f>
        <ns0:v>590000</ns0:v>
      </ns0:c>
      <ns0:c r="G25" s="37"/>
    </ns0:row>
    <ns0:row r="26" ht="19" customHeight="1">
      <ns0:c r="A26" s="2"/>
      <ns0:c r="B26" s="2"/>
      <ns0:c r="C26" s="2"/>
      <ns0:c r="D26" s="2"/>
      <ns0:c r="E26" s="2"/>
      <ns0:c r="F26" s="2"/>
      <ns0:c r="G26" s="2"/>
    </ns0:row>
    <ns0:row r="27" ht="34" customHeight="1">
      <ns0:c r="A27" s="4" t="str">
        <ns0:v>Grundlage: Zahlungsjournal B3 und Zahlungsbelege K4. Positive Beträge sind Eingänge bei Vellio; im Geschäftskonto der Darlehensnehmerin stehen dieselben Zahlungen mit negativem Vorzeichen.</ns0:v>
      </ns0:c>
      <ns0:c r="B27" s="4"/>
      <ns0:c r="C27" s="4"/>
      <ns0:c r="D27" s="4"/>
      <ns0:c r="E27" s="4"/>
      <ns0:c r="F27" s="4"/>
      <ns0:c r="G27" s="4"/>
    </ns0:row>
    <ns0:row r="28" ht="34" customHeight="1">
      <ns0:c r="A28" s="4" t="str">
        <ns0:v>Die April-Zinsrate und die Endtilgung sind zwei Aufträge am selben Tag. Keine zusätzliche neunzehnte Zinsrate; der Erwerbspreis vom 14.10.2022 gehört nicht in diese Summe.</ns0:v>
      </ns0:c>
      <ns0:c r="B28" s="4"/>
      <ns0:c r="C28" s="4"/>
      <ns0:c r="D28" s="4"/>
      <ns0:c r="E28" s="4"/>
      <ns0:c r="F28" s="4"/>
      <ns0:c r="G28" s="4"/>
    </ns0:row>
  </ns0:sheetData>
  <ns0:mergeCells>
    <ns0:mergeCell ref="A2:G2"/>
    <ns0:mergeCell ref="A27:G27"/>
    <ns0:mergeCell ref="A28:G28"/>
  </ns0:mergeCells>
  <ns0:pageMargins left="0.3" right="0.3" top="0.35" bottom="0.4" header="0.15" footer="0.15"/>
  <ns0:pageSetup paperSize="9" orientation="landscape" fitToWidth="1" fitToHeight="0"/>
  <ns0:headerFooter>
    <ns0:oddFooter>&amp;LNF-WP-221014-01&amp;C&amp;A&amp;RSeite &amp;P / &amp;N</ns0:oddFooter>
  </ns0:headerFooter>
</ns0:worksheet>
</file>

<file path=xl/worksheets/sheet2.xml><?xml version="1.0" encoding="utf-8"?>
<ns0:worksheet xmlns:ns0="http://schemas.openxmlformats.org/spreadsheetml/2006/main">
  <ns0:sheetPr>
    <ns0:pageSetUpPr fitToPage="1"/>
  </ns0:sheetPr>
  <ns0:sheetViews>
    <ns0:sheetView showGridLines="0" workbookViewId="0">
      <ns0:pane ySplit="4" topLeftCell="A5" activePane="bottomLeft" state="frozen"/>
    </ns0:sheetView>
  </ns0:sheetViews>
  <ns0:sheetFormatPr defaultRowHeight="15"/>
  <ns0:cols>
    <ns0:col min="1" max="1" width="50" hidden="0" customWidth="1"/>
    <ns0:col min="2" max="2" width="17.219999313354492" hidden="0" customWidth="1"/>
    <ns0:col min="3" max="3" width="28.889999389648438" hidden="0" customWidth="1"/>
  </ns0:cols>
  <ns0:sheetData>
    <ns0:row r="1" ht="27" customHeight="1">
      <ns0:c r="A1" s="3" t="str">
        <ns0:v>2. Abschluss und Teilbeträge</ns0:v>
      </ns0:c>
      <ns0:c r="B1" s="2"/>
      <ns0:c r="C1" s="2"/>
    </ns0:row>
    <ns0:row r="2" ht="26" customHeight="1">
      <ns0:c r="A2" s="4" t="str">
        <ns0:v>Vellio Finance GmbH | Nora Wendt | Zusammenstellung 13.07.2026 | EUR</ns0:v>
      </ns0:c>
      <ns0:c r="B2" s="4"/>
      <ns0:c r="C2" s="4"/>
    </ns0:row>
    <ns0:row r="3" ht="19" customHeight="1">
      <ns0:c r="A3" s="2"/>
      <ns0:c r="B3" s="2"/>
      <ns0:c r="C3" s="2"/>
    </ns0:row>
    <ns0:row r="4" ht="28" customHeight="1">
      <ns0:c r="A4" s="7" t="str">
        <ns0:v>Position</ns0:v>
      </ns0:c>
      <ns0:c r="B4" s="7" t="str">
        <ns0:v>Betrag EUR</ns0:v>
      </ns0:c>
      <ns0:c r="C4" s="7" t="str">
        <ns0:v>Beleg / Zuordnung</ns0:v>
      </ns0:c>
    </ns0:row>
    <ns0:row r="5" ht="27" customHeight="1">
      <ns0:c r="A5" s="24" t="str">
        <ns0:v>18 Zinsraten</ns0:v>
      </ns0:c>
      <ns0:c r="B5" s="26" t="n">
        <ns0:f>Zahlungen!D25</ns0:f>
        <ns0:v>90000</ns0:v>
      </ns0:c>
      <ns0:c r="C5" s="24" t="str">
        <ns0:v>Zahlungen, Spalte D</ns0:v>
      </ns0:c>
    </ns0:row>
    <ns0:row r="6" ht="27" customHeight="1">
      <ns0:c r="A6" s="28" t="str">
        <ns0:v>Endtilgung 15.04.2024</ns0:v>
      </ns0:c>
      <ns0:c r="B6" s="30" t="n">
        <ns0:f>Zahlungen!E25</ns0:f>
        <ns0:v>500000</ns0:v>
      </ns0:c>
      <ns0:c r="C6" s="28" t="str">
        <ns0:v>Zahlungen, Spalte E</ns0:v>
      </ns0:c>
    </ns0:row>
    <ns0:row r="7" ht="24" customHeight="1">
      <ns0:c r="A7" s="41" t="str">
        <ns0:v>Gesamte Schuldnerzahlungen</ns0:v>
      </ns0:c>
      <ns0:c r="B7" s="42" t="n">
        <ns0:f>SUM(B5:B6)</ns0:f>
        <ns0:v>590000</ns0:v>
      </ns0:c>
      <ns0:c r="C7" s="41" t="str">
        <ns0:v>Enthält die unten genannten Teilbeträge</ns0:v>
      </ns0:c>
    </ns0:row>
    <ns0:row r="8" ht="27" customHeight="1">
      <ns0:c r="A8" s="28" t="str">
        <ns0:v>Letzte drei Zinsraten</ns0:v>
      </ns0:c>
      <ns0:c r="B8" s="30" t="n">
        <ns0:f>SUM(Zahlungen!D20:D22)</ns0:f>
        <ns0:v>15000</ns0:v>
      </ns0:c>
      <ns0:c r="C8" s="28" t="str">
        <ns0:v>15.02., 15.03. und 15.04.2024</ns0:v>
      </ns0:c>
    </ns0:row>
    <ns0:row r="9" ht="24" customHeight="1">
      <ns0:c r="A9" s="41" t="str">
        <ns0:v>Letzte drei Zinsraten zuzüglich Valuta</ns0:v>
      </ns0:c>
      <ns0:c r="B9" s="42" t="n">
        <ns0:f>B8+B6</ns0:f>
        <ns0:v>515000</ns0:v>
      </ns0:c>
      <ns0:c r="C9" s="41" t="str">
        <ns0:v>Teilbetrag, nicht zusätzliche Zahlung</ns0:v>
      </ns0:c>
    </ns0:row>
    <ns0:row r="10" ht="27" customHeight="1">
      <ns0:c r="A10" s="28" t="str">
        <ns0:v>Zahlungen am 15.04.2024</ns0:v>
      </ns0:c>
      <ns0:c r="B10" s="30" t="n">
        <ns0:f>SUM(Zahlungen!F22:F23)</ns0:f>
        <ns0:v>505000</ns0:v>
      </ns0:c>
      <ns0:c r="C10" s="28" t="str">
        <ns0:v>Zinsrate und Endtilgung</ns0:v>
      </ns0:c>
    </ns0:row>
    <ns0:row r="11" ht="27" customHeight="1">
      <ns0:c r="A11" s="28" t="str">
        <ns0:v>Übernommene Darlehensvaluta 14.10.2022</ns0:v>
      </ns0:c>
      <ns0:c r="B11" s="30" t="n">
        <ns0:v>500000</ns0:v>
      </ns0:c>
      <ns0:c r="C11" s="28" t="str">
        <ns0:v>B1 / B3, Eröffnung VF-WP-01</ns0:v>
      </ns0:c>
    </ns0:row>
    <ns0:row r="12" ht="27" customHeight="1">
      <ns0:c r="A12" s="28" t="str">
        <ns0:v>Offene Valuta nach Endtilgung</ns0:v>
      </ns0:c>
      <ns0:c r="B12" s="30" t="n">
        <ns0:f>B11-B6</ns0:f>
        <ns0:v>0</ns0:v>
      </ns0:c>
      <ns0:c r="C12" s="28" t="str">
        <ns0:v>Keine laufenden Zinsen auf Restvaluta</ns0:v>
      </ns0:c>
    </ns0:row>
    <ns0:row r="13" ht="27" customHeight="1">
      <ns0:c r="A13" s="32" t="str">
        <ns0:v>Erwerbspreis Vellio an Nexora 14.10.2022</ns0:v>
      </ns0:c>
      <ns0:c r="B13" s="34" t="n">
        <ns0:v>500000</ns0:v>
      </ns0:c>
      <ns0:c r="C13" s="32" t="str">
        <ns0:v>B4; 12:31 Uhr; außerhalb Journal</ns0:v>
      </ns0:c>
    </ns0:row>
    <ns0:row r="14" ht="19" customHeight="1">
      <ns0:c r="A14" s="2"/>
      <ns0:c r="B14" s="2"/>
      <ns0:c r="C14" s="2"/>
    </ns0:row>
    <ns0:row r="15" ht="34" customHeight="1">
      <ns0:c r="A15" s="4" t="str">
        <ns0:v>14.10.2022, 10:11 Uhr: Auszahlung Nexora an Weserfunken. 12:30 Uhr: Vollzug der Vertragsübernahme. 12:31 Uhr: gesonderter Kaufpreisausgleich Vellio an Nexora.</ns0:v>
      </ns0:c>
      <ns0:c r="B15" s="4"/>
      <ns0:c r="C15" s="4"/>
    </ns0:row>
    <ns0:row r="16" ht="19" customHeight="1">
      <ns0:c r="A16" s="2"/>
      <ns0:c r="B16" s="2"/>
      <ns0:c r="C16" s="2"/>
    </ns0:row>
    <ns0:row r="17" ht="34" customHeight="1">
      <ns0:c r="A17" s="4" t="str">
        <ns0:v>Der Erwerbspreis ist eine eigene Zahlung von Vellio und mindert die Schuldner-Valuta nicht. Die Kaufpreisposition ist keine zweite Darlehensauszahlung und kein Teil der 590.000,00 EUR.</ns0:v>
      </ns0:c>
      <ns0:c r="B17" s="4"/>
      <ns0:c r="C17" s="4"/>
    </ns0:row>
    <ns0:row r="18" ht="19" customHeight="1">
      <ns0:c r="A18" s="2"/>
      <ns0:c r="B18" s="2"/>
      <ns0:c r="C18" s="2"/>
    </ns0:row>
    <ns0:row r="19" ht="34" customHeight="1">
      <ns0:c r="A19" s="4" t="str">
        <ns0:v>Der Abschlussabgleich enthält keine Feststellung über sämtliche konzerninternen Vergütungen. Die fehlende gesonderte Schuldnergebühr beantwortet diese andere Frage nicht.</ns0:v>
      </ns0:c>
      <ns0:c r="B19" s="4"/>
      <ns0:c r="C19" s="4"/>
    </ns0:row>
    <ns0:row r="20" ht="19" customHeight="1">
      <ns0:c r="A20" s="2"/>
      <ns0:c r="B20" s="2"/>
      <ns0:c r="C20" s="2"/>
    </ns0:row>
    <ns0:row r="21" ht="34" customHeight="1">
      <ns0:c r="A21" s="4" t="str">
        <ns0:v>Bearbeitung: Nora Wendt, Vellio Finance GmbH. Zugrunde gelegt wurden B2 bis B4 und die einzelnen Zahlungsdaten. Diese Arbeitsmappe ersetzt weder Kontoauszüge noch den Übernahmevertrag.</ns0:v>
      </ns0:c>
      <ns0:c r="B21" s="4"/>
      <ns0:c r="C21" s="4"/>
    </ns0:row>
    <ns0:row r="22" ht="19" customHeight="1">
      <ns0:c r="A22" s="2"/>
      <ns0:c r="B22" s="2"/>
      <ns0:c r="C22" s="2"/>
    </ns0:row>
    <ns0:row r="23" ht="19" customHeight="1">
      <ns0:c r="A23" s="2"/>
      <ns0:c r="B23" s="2"/>
      <ns0:c r="C23" s="2"/>
    </ns0:row>
    <ns0:row r="24" ht="19" customHeight="1">
      <ns0:c r="A24" s="2"/>
      <ns0:c r="B24" s="2"/>
      <ns0:c r="C24" s="2"/>
    </ns0:row>
  </ns0:sheetData>
  <ns0:mergeCells>
    <ns0:mergeCell ref="A2:C2"/>
    <ns0:mergeCell ref="A15:C15"/>
    <ns0:mergeCell ref="A17:C17"/>
    <ns0:mergeCell ref="A19:C19"/>
    <ns0:mergeCell ref="A21:C21"/>
  </ns0:mergeCells>
  <ns0:pageMargins left="0.3" right="0.3" top="0.35" bottom="0.4" header="0.15" footer="0.15"/>
  <ns0:pageSetup paperSize="9" orientation="landscape" fitToWidth="1" fitToHeight="0"/>
  <ns0:headerFooter>
    <ns0:oddFooter>&amp;LNF-WP-221014-01&amp;C&amp;A&amp;RSeite &amp;P / &amp;N</ns0:oddFooter>
  </ns0:headerFooter>
</ns0:worksheet>
</file>

<file path=xl/worksheets/sheet3.xml><?xml version="1.0" encoding="utf-8"?>
<ns0:worksheet xmlns:ns0="http://schemas.openxmlformats.org/spreadsheetml/2006/main">
  <ns0:sheetPr>
    <ns0:pageSetUpPr fitToPage="1"/>
  </ns0:sheetPr>
  <ns0:sheetViews>
    <ns0:sheetView showGridLines="0" workbookViewId="0">
      <ns0:pane ySplit="4" topLeftCell="A5" activePane="bottomLeft" state="frozen"/>
    </ns0:sheetView>
  </ns0:sheetViews>
  <ns0:sheetFormatPr defaultRowHeight="15"/>
  <ns0:cols>
    <ns0:col min="1" max="1" width="22.440000534057617" hidden="0" customWidth="1"/>
    <ns0:col min="2" max="2" width="33.88999938964844" hidden="0" customWidth="1"/>
    <ns0:col min="3" max="3" width="39.779998779296875" hidden="0" customWidth="1"/>
  </ns0:cols>
  <ns0:sheetData>
    <ns0:row r="1" ht="27" customHeight="1">
      <ns0:c r="A1" s="3" t="str">
        <ns0:v>3. Bezeichnung und Zahlungsrolle</ns0:v>
      </ns0:c>
      <ns0:c r="B1" s="2"/>
      <ns0:c r="C1" s="2"/>
    </ns0:row>
    <ns0:row r="2" ht="26" customHeight="1">
      <ns0:c r="A2" s="4" t="str">
        <ns0:v>Vellio Finance GmbH | Abstimmung zum Einzelkredit NF-WP-221014-01 | 13.07.2026</ns0:v>
      </ns0:c>
      <ns0:c r="B2" s="4"/>
      <ns0:c r="C2" s="4"/>
    </ns0:row>
    <ns0:row r="3" ht="19" customHeight="1">
      <ns0:c r="A3" s="2"/>
      <ns0:c r="B3" s="2"/>
      <ns0:c r="C3" s="2"/>
    </ns0:row>
    <ns0:row r="4" ht="28" customHeight="1">
      <ns0:c r="A4" s="7" t="str">
        <ns0:v>Feld / Vorgang</ns0:v>
      </ns0:c>
      <ns0:c r="B4" s="7" t="str">
        <ns0:v>Erfasste Angabe</ns0:v>
      </ns0:c>
      <ns0:c r="C4" s="7" t="str">
        <ns0:v>Abgleich / Herkunft</ns0:v>
      </ns0:c>
    </ns0:row>
    <ns0:row r="5" ht="30" customHeight="1">
      <ns0:c r="A5" s="24" t="str">
        <ns0:v>Ursprüngliche Kreditgeberin</ns0:v>
      </ns0:c>
      <ns0:c r="B5" s="24" t="str">
        <ns0:v>Nexora Frontbank AG</ns0:v>
      </ns0:c>
      <ns0:c r="C5" s="24" t="str">
        <ns0:v>Angebot und Auszahlung, 11. bis 14.10.2022</ns0:v>
      </ns0:c>
    </ns0:row>
    <ns0:row r="6" ht="30" customHeight="1">
      <ns0:c r="A6" s="28" t="str">
        <ns0:v>Übernommene Vertragsposition</ns0:v>
      </ns0:c>
      <ns0:c r="B6" s="28" t="str">
        <ns0:v>Vellio Finance GmbH</ns0:v>
      </ns0:c>
      <ns0:c r="C6" s="28" t="str">
        <ns0:v>Vollzug 14.10.2022, 12:30 Uhr; B1 / K8</ns0:v>
      </ns0:c>
    </ns0:row>
    <ns0:row r="7" ht="30" customHeight="1">
      <ns0:c r="A7" s="28" t="str">
        <ns0:v>Historische Bezeichnung</ns0:v>
      </ns0:c>
      <ns0:c r="B7" s="28" t="str">
        <ns0:v>Nexora in älteren Buchhaltungsübersichten</ns0:v>
      </ns0:c>
      <ns0:c r="C7" s="28" t="str">
        <ns0:v>Kröger 12.03.2024; Wendt 14.03.2024</ns0:v>
      </ns0:c>
    </ns0:row>
    <ns0:row r="8" ht="30" customHeight="1">
      <ns0:c r="A8" s="28" t="str">
        <ns0:v>Empfänger der Folgeraten</ns0:v>
      </ns0:c>
      <ns0:c r="B8" s="28" t="str">
        <ns0:v>Vellio Finance GmbH</ns0:v>
      </ns0:c>
      <ns0:c r="C8" s="28" t="str">
        <ns0:v>Zahlungsstamm bestätigt am 14.10.2022; B2</ns0:v>
      </ns0:c>
    </ns0:row>
    <ns0:row r="9" ht="30" customHeight="1">
      <ns0:c r="A9" s="28" t="str">
        <ns0:v>Empfängerkonto</ns0:v>
      </ns0:c>
      <ns0:c r="B9" s="28" t="str">
        <ns0:v>AT61 1904 3002 3457 3201</ns0:v>
      </ns0:c>
      <ns0:c r="C9" s="28" t="str">
        <ns0:v>Keine Umstellung auf ein Nexora-Konto</ns0:v>
      </ns0:c>
    </ns0:row>
    <ns0:row r="10" ht="30" customHeight="1">
      <ns0:c r="A10" s="28" t="str">
        <ns0:v>Unverändertes Kennzeichen</ns0:v>
      </ns0:c>
      <ns0:c r="B10" s="28" t="str">
        <ns0:v>NF-WP-221014-01</ns0:v>
      </ns0:c>
      <ns0:c r="C10" s="28" t="str">
        <ns0:v>Kennzeichen bezeichnet den Kredit, nicht den Kontoinhaber</ns0:v>
      </ns0:c>
    </ns0:row>
    <ns0:row r="11" ht="30" customHeight="1">
      <ns0:c r="A11" s="28" t="str">
        <ns0:v>Erwerbspreisempfängerin</ns0:v>
      </ns0:c>
      <ns0:c r="B11" s="28" t="str">
        <ns0:v>Nexora Frontbank AG</ns0:v>
      </ns0:c>
      <ns0:c r="C11" s="28" t="str">
        <ns0:v>Einmaliger Kaufpreis; kein Schuldner-Zahlungsauftrag</ns0:v>
      </ns0:c>
    </ns0:row>
    <ns0:row r="12" ht="30" customHeight="1">
      <ns0:c r="A12" s="32" t="str">
        <ns0:v>Änderungsanfragen</ns0:v>
      </ns0:c>
      <ns0:c r="B12" s="32" t="str">
        <ns0:v>An Vellio zu richten</ns0:v>
      </ns0:c>
      <ns0:c r="C12" s="32" t="str">
        <ns0:v>Anfrage ersetzt keine vereinbarte Stundung oder Verlängerung</ns0:v>
      </ns0:c>
    </ns0:row>
    <ns0:row r="13" ht="8" customHeight="1">
      <ns0:c r="A13" s="2"/>
      <ns0:c r="B13" s="2"/>
      <ns0:c r="C13" s="2"/>
    </ns0:row>
    <ns0:row r="14" ht="43" customHeight="1">
      <ns0:c r="A14" s="4" t="str">
        <ns0:v>In den Zahlungsfeldern ist Vellio als Empfängerin erfasst. Eine zusätzliche Gläubigerrolle von Nexora lässt sich nicht allein aus einer unveränderten Altbezeichnung ablesen. Dies ist die Buchungszuordnung von Vellio, keine Entscheidung über streitige Ansprüche.</ns0:v>
      </ns0:c>
      <ns0:c r="B14" s="4"/>
      <ns0:c r="C14" s="4"/>
    </ns0:row>
    <ns0:row r="15" ht="8" customHeight="1">
      <ns0:c r="A15" s="2"/>
      <ns0:c r="B15" s="2"/>
      <ns0:c r="C15" s="2"/>
    </ns0:row>
    <ns0:row r="16" ht="40" customHeight="1">
      <ns0:c r="A16" s="4" t="str">
        <ns0:v>Die behauptete Inkassofunktion wird von den Beteiligten unterschiedlich bewertet. Historische Textfelder bleiben unverändert; eine spätere Erläuterung wird daneben abgelegt und nicht als ursprünglicher Buchungsinhalt ausgegeben.</ns0:v>
      </ns0:c>
      <ns0:c r="B16" s="4"/>
      <ns0:c r="C16" s="4"/>
    </ns0:row>
    <ns0:row r="17" ht="8" customHeight="1">
      <ns0:c r="A17" s="2"/>
      <ns0:c r="B17" s="2"/>
      <ns0:c r="C17" s="2"/>
    </ns0:row>
    <ns0:row r="18" ht="40" customHeight="1">
      <ns0:c r="A18" s="4" t="str">
        <ns0:v>Reichweite: dieser Kredit und die bezeichneten Belege. Die Tabelle weist keine vollständigen fremden Konten, keine allgemeine Konzernprüfung und keinen Verzicht auf eigenständige Ansprüche aus früherem Verhalten aus.</ns0:v>
      </ns0:c>
      <ns0:c r="B18" s="4"/>
      <ns0:c r="C18" s="4"/>
    </ns0:row>
    <ns0:row r="19" ht="19" customHeight="1">
      <ns0:c r="A19" s="2"/>
      <ns0:c r="B19" s="2"/>
      <ns0:c r="C19" s="2"/>
    </ns0:row>
    <ns0:row r="20" ht="19" customHeight="1">
      <ns0:c r="A20" s="2"/>
      <ns0:c r="B20" s="2"/>
      <ns0:c r="C20" s="2"/>
    </ns0:row>
    <ns0:row r="21" ht="19" customHeight="1">
      <ns0:c r="A21" s="2"/>
      <ns0:c r="B21" s="2"/>
      <ns0:c r="C21" s="2"/>
    </ns0:row>
    <ns0:row r="22" ht="19" customHeight="1">
      <ns0:c r="A22" s="2"/>
      <ns0:c r="B22" s="2"/>
      <ns0:c r="C22" s="2"/>
    </ns0:row>
  </ns0:sheetData>
  <ns0:mergeCells>
    <ns0:mergeCell ref="A2:C2"/>
    <ns0:mergeCell ref="A14:C14"/>
    <ns0:mergeCell ref="A16:C16"/>
    <ns0:mergeCell ref="A18:C18"/>
  </ns0:mergeCells>
  <ns0:pageMargins left="0.3" right="0.3" top="0.35" bottom="0.4" header="0.15" footer="0.15"/>
  <ns0:pageSetup paperSize="9" orientation="landscape" fitToWidth="1" fitToHeight="0"/>
  <ns0:headerFooter>
    <ns0:oddFooter>&amp;LNF-WP-221014-01&amp;C&amp;A&amp;RSeite &amp;P / &amp;N</ns0:oddFooter>
  </ns0:headerFooter>
</ns0:worksheet>
</file>