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f75f7370ca4505" /></Relationships>
</file>

<file path=xl/workbook.xml><?xml version="1.0" encoding="utf-8"?>
<x:workbook xmlns:x="http://schemas.openxmlformats.org/spreadsheetml/2006/main">
  <x:sheets>
    <x:sheet xmlns:r="http://schemas.openxmlformats.org/officeDocument/2006/relationships" name="Maerz" sheetId="1" r:id="R636f164b706d4e11"/>
    <x:sheet xmlns:r="http://schemas.openxmlformats.org/officeDocument/2006/relationships" name="April" sheetId="2" r:id="Raa3c54c9f5e74552"/>
    <x:sheet xmlns:r="http://schemas.openxmlformats.org/officeDocument/2006/relationships" name="OffenePosten" sheetId="3" r:id="R900852eb428b4f54"/>
    <x:sheet xmlns:r="http://schemas.openxmlformats.org/officeDocument/2006/relationships" name="Stichtage" sheetId="4" r:id="Rf8eafffbed3c4ff1"/>
    <x:sheet xmlns:r="http://schemas.openxmlformats.org/officeDocument/2006/relationships" name="MaiAbgrenzung" sheetId="5" r:id="R65c6937448374e9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407]#,##0.00_);[Red](#,##0.00);&quot;-&quot;_)"/>
    <x:numFmt numFmtId="201" formatCode="dd.mm.yyyy&quot;  &quot;"/>
    <x:numFmt numFmtId="202" formatCode="dd.mm.yyyy"/>
  </x:numFmts>
  <x:fonts count="7">
    <x:font>
      <x:sz val="11"/>
      <x:name val="Carlito"/>
    </x:font>
    <x:font>
      <x:sz val="11"/>
      <x:color rgb="FF171717"/>
      <x:name val="Times New Roman"/>
    </x:font>
    <x:font>
      <x:b/>
      <x:sz val="15"/>
      <x:color rgb="FF171717"/>
      <x:name val="Times New Roman"/>
    </x:font>
    <x:font>
      <x:b/>
      <x:sz val="11"/>
      <x:color rgb="FFFFFFFF"/>
      <x:name val="Times New Roman"/>
    </x:font>
    <x:font>
      <x:sz val="11"/>
      <x:color rgb="FF245C3F"/>
      <x:name val="Times New Roman"/>
    </x:font>
    <x:font>
      <x:b/>
      <x:sz val="11"/>
      <x:color rgb="FF171717"/>
      <x:name val="Times New Roman"/>
    </x:font>
    <x:font>
      <x:b/>
      <x:sz val="11"/>
      <x:color rgb="FF245C3F"/>
      <x:name val="Times New Roman"/>
    </x:font>
  </x:fonts>
  <x:fills count="4">
    <x:fill>
      <x:patternFill patternType="none"/>
    </x:fill>
    <x:fill>
      <x:patternFill patternType="gray125"/>
    </x:fill>
    <x:fill>
      <x:patternFill patternType="solid">
        <x:fgColor rgb="FF303937"/>
      </x:patternFill>
    </x:fill>
    <x:fill>
      <x:patternFill patternType="solid">
        <x:fgColor rgb="FFE9EFEB"/>
      </x:patternFill>
    </x:fill>
  </x:fills>
  <x:borders count="4">
    <x:border/>
    <x:border>
      <x:bottom style="thin">
        <x:color rgb="FFDDDDDD"/>
      </x:bottom>
    </x:border>
    <x:border>
      <x:top style="thin">
        <x:color rgb="FFDDDDDD"/>
      </x:top>
      <x:bottom style="thin">
        <x:color rgb="FFDDDDDD"/>
      </x:bottom>
    </x:border>
    <x:border>
      <x:top style="thin">
        <x:color rgb="FFDDDDDD"/>
      </x:top>
    </x:border>
  </x:borders>
  <x:cellStyleXfs count="1">
    <x:xf numFmtId="0" fontId="0" fillId="0" borderId="0"/>
  </x:cellStyleXfs>
  <x:cellXfs count="5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200" fontId="4"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201" fontId="1" fillId="0" borderId="2" xfId="0" applyNumberFormat="1" applyFont="1" applyFill="1" applyBorder="1" applyAlignment="1">
      <x:alignment vertical="center"/>
    </x:xf>
    <x:xf numFmtId="0" fontId="1" fillId="0" borderId="2" xfId="0" applyNumberFormat="1" applyFont="1" applyFill="1" applyBorder="1" applyAlignment="1">
      <x:alignment vertical="center"/>
    </x:xf>
    <x:xf numFmtId="200" fontId="4" fillId="0" borderId="2" xfId="0" applyNumberFormat="1" applyFont="1" applyFill="1" applyBorder="1" applyAlignment="1">
      <x:alignment vertical="center"/>
    </x:xf>
    <x:xf numFmtId="200" fontId="1" fillId="0" borderId="2" xfId="0" applyNumberFormat="1" applyFont="1" applyFill="1" applyBorder="1" applyAlignment="1">
      <x:alignment vertical="center"/>
    </x:xf>
    <x:xf numFmtId="201" fontId="1" fillId="0" borderId="3" xfId="0" applyNumberFormat="1" applyFont="1" applyFill="1" applyBorder="1" applyAlignment="1">
      <x:alignment vertical="center"/>
    </x:xf>
    <x:xf numFmtId="0" fontId="1" fillId="0" borderId="3" xfId="0" applyNumberFormat="1" applyFont="1" applyFill="1" applyBorder="1" applyAlignment="1">
      <x:alignment vertical="center"/>
    </x:xf>
    <x:xf numFmtId="200" fontId="4" fillId="0" borderId="3" xfId="0" applyNumberFormat="1" applyFont="1" applyFill="1" applyBorder="1" applyAlignment="1">
      <x:alignment vertical="center"/>
    </x:xf>
    <x:xf numFmtId="200" fontId="1" fillId="0" borderId="3" xfId="0" applyNumberFormat="1" applyFont="1" applyFill="1" applyBorder="1" applyAlignment="1">
      <x:alignment vertical="center"/>
    </x:xf>
    <x:xf numFmtId="201" fontId="1"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1" fontId="1" fillId="0" borderId="2"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1" fillId="0" borderId="2" xfId="0" applyNumberFormat="1" applyFont="1" applyFill="1" applyBorder="1" applyAlignment="1">
      <x:alignment vertical="center" wrapText="1"/>
    </x:xf>
    <x:xf numFmtId="201" fontId="1" fillId="0" borderId="3"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200" fontId="1" fillId="0" borderId="3" xfId="0" applyNumberFormat="1" applyFont="1" applyFill="1" applyBorder="1" applyAlignment="1">
      <x:alignment vertical="center" wrapText="1"/>
    </x:xf>
    <x:xf numFmtId="201" fontId="1" fillId="3" borderId="3" xfId="0" applyNumberFormat="1" applyFont="1" applyFill="1" applyBorder="1" applyAlignment="1">
      <x:alignment vertical="center" wrapText="1"/>
    </x:xf>
    <x:xf numFmtId="0" fontId="1" fillId="3" borderId="3" xfId="0" applyNumberFormat="1" applyFont="1" applyFill="1" applyBorder="1" applyAlignment="1">
      <x:alignment vertical="center" wrapText="1"/>
    </x:xf>
    <x:xf numFmtId="200" fontId="4" fillId="3" borderId="3" xfId="0" applyNumberFormat="1" applyFont="1" applyFill="1" applyBorder="1" applyAlignment="1">
      <x:alignment vertical="center" wrapText="1"/>
    </x:xf>
    <x:xf numFmtId="200" fontId="1" fillId="3" borderId="3" xfId="0" applyNumberFormat="1" applyFont="1" applyFill="1" applyBorder="1" applyAlignment="1">
      <x:alignment vertical="center" wrapText="1"/>
    </x:xf>
    <x:xf numFmtId="201" fontId="5" fillId="3" borderId="3"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200" fontId="6" fillId="3" borderId="3" xfId="0" applyNumberFormat="1" applyFont="1" applyFill="1" applyBorder="1" applyAlignment="1">
      <x:alignment vertical="center" wrapText="1"/>
    </x:xf>
    <x:xf numFmtId="200" fontId="5" fillId="3" borderId="3" xfId="0" applyNumberFormat="1" applyFont="1" applyFill="1" applyBorder="1" applyAlignment="1">
      <x:alignment vertical="center" wrapText="1"/>
    </x:xf>
    <x:xf numFmtId="202" fontId="1" fillId="0" borderId="0" xfId="0" applyNumberFormat="1" applyFont="1" applyFill="1" applyBorder="1" applyAlignment="1">
      <x:alignment vertical="center"/>
    </x:xf>
    <x:xf numFmtId="202" fontId="1" fillId="0" borderId="1" xfId="0" applyNumberFormat="1" applyFont="1" applyFill="1" applyBorder="1" applyAlignment="1">
      <x:alignment vertical="center"/>
    </x:xf>
    <x:xf numFmtId="202" fontId="1" fillId="0" borderId="2" xfId="0" applyNumberFormat="1" applyFont="1" applyFill="1" applyBorder="1" applyAlignment="1">
      <x:alignment vertical="center"/>
    </x:xf>
    <x:xf numFmtId="202" fontId="1" fillId="0" borderId="3" xfId="0" applyNumberFormat="1" applyFont="1" applyFill="1" applyBorder="1" applyAlignment="1">
      <x:alignment vertical="center"/>
    </x:xf>
    <x:xf numFmtId="202" fontId="1" fillId="0" borderId="1" xfId="0" applyNumberFormat="1" applyFont="1" applyFill="1" applyBorder="1" applyAlignment="1">
      <x:alignment vertical="center" wrapText="1"/>
    </x:xf>
    <x:xf numFmtId="202" fontId="1" fillId="0" borderId="2" xfId="0" applyNumberFormat="1" applyFont="1" applyFill="1" applyBorder="1" applyAlignment="1">
      <x:alignment vertical="center" wrapText="1"/>
    </x:xf>
    <x:xf numFmtId="202" fontId="1" fillId="0" borderId="3"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45766fe11940bf" /><Relationship Type="http://schemas.openxmlformats.org/officeDocument/2006/relationships/theme" Target="/xl/theme/theme1.xml" Id="R0353741757d94342" /><Relationship Type="http://schemas.openxmlformats.org/officeDocument/2006/relationships/sharedStrings" Target="/xl/sharedStrings.xml" Id="Rcceac5d493a44d92" /><Relationship Type="http://schemas.openxmlformats.org/officeDocument/2006/relationships/worksheet" Target="/xl/worksheets/sheet1.xml" Id="R636f164b706d4e11" /><Relationship Type="http://schemas.openxmlformats.org/officeDocument/2006/relationships/worksheet" Target="/xl/worksheets/sheet2.xml" Id="Raa3c54c9f5e74552" /><Relationship Type="http://schemas.openxmlformats.org/officeDocument/2006/relationships/worksheet" Target="/xl/worksheets/sheet3.xml" Id="R900852eb428b4f54" /><Relationship Type="http://schemas.openxmlformats.org/officeDocument/2006/relationships/worksheet" Target="/xl/worksheets/sheet4.xml" Id="Rf8eafffbed3c4ff1" /><Relationship Type="http://schemas.openxmlformats.org/officeDocument/2006/relationships/worksheet" Target="/xl/worksheets/sheet5.xml" Id="R65c6937448374e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12.779999732971191" hidden="0" customWidth="1"/>
    <ns0:col min="2" max="2" width="23.889999389648438" hidden="0" customWidth="1"/>
    <ns0:col min="3" max="3" width="31.110000610351562" hidden="0" customWidth="1"/>
    <ns0:col min="4" max="4" width="13.890000343322754" hidden="0" customWidth="1"/>
    <ns0:col min="5" max="5" width="15" hidden="0" customWidth="1"/>
    <ns0:col min="6" max="6" width="15" hidden="0" customWidth="1"/>
    <ns0:col min="7" max="7" width="11.109999656677246" hidden="0" customWidth="1"/>
  </ns0:cols>
  <ns0:sheetData>
    <ns0:row r="1" ht="27" customHeight="1">
      <ns0:c r="A1" s="3" t="str">
        <ns0:v>1.1. Kontobuchungen März 2024</ns0:v>
      </ns0:c>
      <ns0:c r="B1" s="2"/>
      <ns0:c r="C1" s="2"/>
      <ns0:c r="D1" s="2"/>
      <ns0:c r="E1" s="2"/>
      <ns0:c r="F1" s="2"/>
      <ns0:c r="G1" s="2"/>
    </ns0:row>
    <ns0:row r="2" ht="26" customHeight="1">
      <ns0:c r="A2" s="4" t="str">
        <ns0:v>Weserfunken Präzisionsbau GmbH | Jutta Kröger | Abgleich 11.06.2026 | Konto 01728400</ns0:v>
      </ns0:c>
      <ns0:c r="B2" s="4"/>
      <ns0:c r="C2" s="4"/>
      <ns0:c r="D2" s="4"/>
      <ns0:c r="E2" s="4"/>
      <ns0:c r="F2" s="4"/>
      <ns0:c r="G2" s="4"/>
    </ns0:row>
    <ns0:row r="3" ht="19" customHeight="1">
      <ns0:c r="A3" s="2" t="str">
        <ns0:v>Vortrag EUR</ns0:v>
      </ns0:c>
      <ns0:c r="B3" s="2"/>
      <ns0:c r="C3" s="2"/>
      <ns0:c r="D3" s="2"/>
      <ns0:c r="E3" s="5" t="n">
        <ns0:v>421800</ns0:v>
      </ns0:c>
      <ns0:c r="F3" s="2"/>
      <ns0:c r="G3" s="2"/>
    </ns0:row>
    <ns0:row r="4" ht="28" customHeight="1">
      <ns0:c r="A4" s="8" t="str">
        <ns0:v>Datum</ns0:v>
      </ns0:c>
      <ns0:c r="B4" s="8" t="str">
        <ns0:v>Gegenkonto / Empfänger</ns0:v>
      </ns0:c>
      <ns0:c r="C4" s="8" t="str">
        <ns0:v>Verwendungszweck</ns0:v>
      </ns0:c>
      <ns0:c r="D4" s="8" t="str">
        <ns0:v>Betrag EUR</ns0:v>
      </ns0:c>
      <ns0:c r="E4" s="8" t="str">
        <ns0:v>Berechnet EUR</ns0:v>
      </ns0:c>
      <ns0:c r="F4" s="8" t="str">
        <ns0:v>K4-Saldo EUR</ns0:v>
      </ns0:c>
      <ns0:c r="G4" s="8" t="str">
        <ns0:v>Differenz EUR</ns0:v>
      </ns0:c>
    </ns0:row>
    <ns0:row r="5" ht="27" customHeight="1">
      <ns0:c r="A5" s="23" t="n">
        <ns0:v>45353</ns0:v>
      </ns0:c>
      <ns0:c r="B5" s="24" t="str">
        <ns0:v>Nordhafen Antriebstechnik GmbH</ns0:v>
      </ns0:c>
      <ns0:c r="C5" s="24" t="str">
        <ns0:v>Sammelzahlung Ventilblöcke, Projekt N42</ns0:v>
      </ns0:c>
      <ns0:c r="D5" s="25" t="n">
        <ns0:v>155800</ns0:v>
      </ns0:c>
      <ns0:c r="E5" s="26" t="n">
        <ns0:f>E3+D5</ns0:f>
        <ns0:v>577600</ns0:v>
      </ns0:c>
      <ns0:c r="F5" s="25" t="n">
        <ns0:v>577600</ns0:v>
      </ns0:c>
      <ns0:c r="G5" s="26" t="n">
        <ns0:f>E5-F5</ns0:f>
        <ns0:v>0</ns0:v>
      </ns0:c>
    </ns0:row>
    <ns0:row r="6" ht="27" customHeight="1">
      <ns0:c r="A6" s="27" t="n">
        <ns0:v>45355</ns0:v>
      </ns0:c>
      <ns0:c r="B6" s="28" t="str">
        <ns0:v>Hanseblech Zuschnitt GmbH</ns0:v>
      </ns0:c>
      <ns0:c r="C6" s="28" t="str">
        <ns0:v>Werkstofflieferung HB-2024-03</ns0:v>
      </ns0:c>
      <ns0:c r="D6" s="29" t="n">
        <ns0:v>-21300</ns0:v>
      </ns0:c>
      <ns0:c r="E6" s="30" t="n">
        <ns0:f>E5+D6</ns0:f>
        <ns0:v>556300</ns0:v>
      </ns0:c>
      <ns0:c r="F6" s="29" t="n">
        <ns0:v>556300</ns0:v>
      </ns0:c>
      <ns0:c r="G6" s="30" t="n">
        <ns0:f>E6-F6</ns0:f>
        <ns0:v>0</ns0:v>
      </ns0:c>
    </ns0:row>
    <ns0:row r="7" ht="27" customHeight="1">
      <ns0:c r="A7" s="27" t="n">
        <ns0:v>45357</ns0:v>
      </ns0:c>
      <ns0:c r="B7" s="28" t="str">
        <ns0:v>Werftkomponenten Kroll KG</ns0:v>
      </ns0:c>
      <ns0:c r="C7" s="28" t="str">
        <ns0:v>Messgehäuse WK-2024-03</ns0:v>
      </ns0:c>
      <ns0:c r="D7" s="29" t="n">
        <ns0:v>26800</ns0:v>
      </ns0:c>
      <ns0:c r="E7" s="30" t="n">
        <ns0:f>E6+D7</ns0:f>
        <ns0:v>583100</ns0:v>
      </ns0:c>
      <ns0:c r="F7" s="29" t="n">
        <ns0:v>583100</ns0:v>
      </ns0:c>
      <ns0:c r="G7" s="30" t="n">
        <ns0:f>E7-F7</ns0:f>
        <ns0:v>0</ns0:v>
      </ns0:c>
    </ns0:row>
    <ns0:row r="8" ht="27" customHeight="1">
      <ns0:c r="A8" s="27" t="n">
        <ns0:v>45359</ns0:v>
      </ns0:c>
      <ns0:c r="B8" s="28" t="str">
        <ns0:v>Gewerbehof Hüttenstraße KG</ns0:v>
      </ns0:c>
      <ns0:c r="C8" s="28" t="str">
        <ns0:v>Miete Halle 4 und Nebenkosten</ns0:v>
      </ns0:c>
      <ns0:c r="D8" s="29" t="n">
        <ns0:v>-9200</ns0:v>
      </ns0:c>
      <ns0:c r="E8" s="30" t="n">
        <ns0:f>E7+D8</ns0:f>
        <ns0:v>573900</ns0:v>
      </ns0:c>
      <ns0:c r="F8" s="29" t="n">
        <ns0:v>573900</ns0:v>
      </ns0:c>
      <ns0:c r="G8" s="30" t="n">
        <ns0:f>E8-F8</ns0:f>
        <ns0:v>0</ns0:v>
      </ns0:c>
    </ns0:row>
    <ns0:row r="9" ht="27" customHeight="1">
      <ns0:c r="A9" s="27" t="n">
        <ns0:v>45366</ns0:v>
      </ns0:c>
      <ns0:c r="B9" s="28" t="str">
        <ns0:v>Vellio Finance GmbH</ns0:v>
      </ns0:c>
      <ns0:c r="C9" s="28" t="str">
        <ns0:v>NF-WP-221014-01 Zinsperiode 17</ns0:v>
      </ns0:c>
      <ns0:c r="D9" s="29" t="n">
        <ns0:v>-5000</ns0:v>
      </ns0:c>
      <ns0:c r="E9" s="30" t="n">
        <ns0:f>E8+D9</ns0:f>
        <ns0:v>568900</ns0:v>
      </ns0:c>
      <ns0:c r="F9" s="29" t="n">
        <ns0:v>568900</ns0:v>
      </ns0:c>
      <ns0:c r="G9" s="30" t="n">
        <ns0:f>E9-F9</ns0:f>
        <ns0:v>0</ns0:v>
      </ns0:c>
    </ns0:row>
    <ns0:row r="10" ht="27" customHeight="1">
      <ns0:c r="A10" s="27" t="n">
        <ns0:v>45369</ns0:v>
      </ns0:c>
      <ns0:c r="B10" s="28" t="str">
        <ns0:v>Prüftechnik Bruns GmbH</ns0:v>
      </ns0:c>
      <ns0:c r="C10" s="28" t="str">
        <ns0:v>Dichtheitsprüfungen und Materialzeugnisse</ns0:v>
      </ns0:c>
      <ns0:c r="D10" s="29" t="n">
        <ns0:v>-8400</ns0:v>
      </ns0:c>
      <ns0:c r="E10" s="30" t="n">
        <ns0:f>E9+D10</ns0:f>
        <ns0:v>560500</ns0:v>
      </ns0:c>
      <ns0:c r="F10" s="29" t="n">
        <ns0:v>560500</ns0:v>
      </ns0:c>
      <ns0:c r="G10" s="30" t="n">
        <ns0:f>E10-F10</ns0:f>
        <ns0:v>0</ns0:v>
      </ns0:c>
    </ns0:row>
    <ns0:row r="11" ht="27" customHeight="1">
      <ns0:c r="A11" s="27" t="n">
        <ns0:v>45371</ns0:v>
      </ns0:c>
      <ns0:c r="B11" s="28" t="str">
        <ns0:v>Versorgungswerke Weserbogen GmbH</ns0:v>
      </ns0:c>
      <ns0:c r="C11" s="28" t="str">
        <ns0:v>Strom- und Wärmeabschlag Werkhalle</ns0:v>
      </ns0:c>
      <ns0:c r="D11" s="29" t="n">
        <ns0:v>-4700</ns0:v>
      </ns0:c>
      <ns0:c r="E11" s="30" t="n">
        <ns0:f>E10+D11</ns0:f>
        <ns0:v>555800</ns0:v>
      </ns0:c>
      <ns0:c r="F11" s="29" t="n">
        <ns0:v>555800</ns0:v>
      </ns0:c>
      <ns0:c r="G11" s="30" t="n">
        <ns0:f>E11-F11</ns0:f>
        <ns0:v>0</ns0:v>
      </ns0:c>
    </ns0:row>
    <ns0:row r="12" ht="27" customHeight="1">
      <ns0:c r="A12" s="27" t="n">
        <ns0:v>45373</ns0:v>
      </ns0:c>
      <ns0:c r="B12" s="28" t="str">
        <ns0:v>Finanzkasse Bremen</ns0:v>
      </ns0:c>
      <ns0:c r="C12" s="28" t="str">
        <ns0:v>Abgaben, Buchungsreferenz 72-481</ns0:v>
      </ns0:c>
      <ns0:c r="D12" s="29" t="n">
        <ns0:v>-18600</ns0:v>
      </ns0:c>
      <ns0:c r="E12" s="30" t="n">
        <ns0:f>E11+D12</ns0:f>
        <ns0:v>537200</ns0:v>
      </ns0:c>
      <ns0:c r="F12" s="29" t="n">
        <ns0:v>537200</ns0:v>
      </ns0:c>
      <ns0:c r="G12" s="30" t="n">
        <ns0:f>E12-F12</ns0:f>
        <ns0:v>0</ns0:v>
      </ns0:c>
    </ns0:row>
    <ns0:row r="13" ht="27" customHeight="1">
      <ns0:c r="A13" s="27" t="n">
        <ns0:v>45376</ns0:v>
      </ns0:c>
      <ns0:c r="B13" s="28" t="str">
        <ns0:v>Beschäftigte Weserfunken</ns0:v>
      </ns0:c>
      <ns0:c r="C13" s="28" t="str">
        <ns0:v>Sammelüberweisung Löhne und Gehälter</ns0:v>
      </ns0:c>
      <ns0:c r="D13" s="29" t="n">
        <ns0:v>-64200</ns0:v>
      </ns0:c>
      <ns0:c r="E13" s="30" t="n">
        <ns0:f>E12+D13</ns0:f>
        <ns0:v>473000</ns0:v>
      </ns0:c>
      <ns0:c r="F13" s="29" t="n">
        <ns0:v>473000</ns0:v>
      </ns0:c>
      <ns0:c r="G13" s="30" t="n">
        <ns0:f>E13-F13</ns0:f>
        <ns0:v>0</ns0:v>
      </ns0:c>
    </ns0:row>
    <ns0:row r="14" ht="27" customHeight="1">
      <ns0:c r="A14" s="27" t="n">
        <ns0:v>45378</ns0:v>
      </ns0:c>
      <ns0:c r="B14" s="28" t="str">
        <ns0:v>Sozialkassen</ns0:v>
      </ns0:c>
      <ns0:c r="C14" s="28" t="str">
        <ns0:v>Beitragsnachweise laufender Monat</ns0:v>
      </ns0:c>
      <ns0:c r="D14" s="29" t="n">
        <ns0:v>-27900</ns0:v>
      </ns0:c>
      <ns0:c r="E14" s="30" t="n">
        <ns0:f>E13+D14</ns0:f>
        <ns0:v>445100</ns0:v>
      </ns0:c>
      <ns0:c r="F14" s="29" t="n">
        <ns0:v>445100</ns0:v>
      </ns0:c>
      <ns0:c r="G14" s="30" t="n">
        <ns0:f>E14-F14</ns0:f>
        <ns0:v>0</ns0:v>
      </ns0:c>
    </ns0:row>
    <ns0:row r="15" ht="27" customHeight="1">
      <ns0:c r="A15" s="27" t="n">
        <ns0:v>45379</ns0:v>
      </ns0:c>
      <ns0:c r="B15" s="28" t="str">
        <ns0:v>Werkzeugservice Evers GmbH</ns0:v>
      </ns0:c>
      <ns0:c r="C15" s="28" t="str">
        <ns0:v>Fräser, Bohrer und Instandsetzung Spindel</ns0:v>
      </ns0:c>
      <ns0:c r="D15" s="29" t="n">
        <ns0:v>-16200</ns0:v>
      </ns0:c>
      <ns0:c r="E15" s="30" t="n">
        <ns0:f>E14+D15</ns0:f>
        <ns0:v>428900</ns0:v>
      </ns0:c>
      <ns0:c r="F15" s="29" t="n">
        <ns0:v>428900</ns0:v>
      </ns0:c>
      <ns0:c r="G15" s="30" t="n">
        <ns0:f>E15-F15</ns0:f>
        <ns0:v>0</ns0:v>
      </ns0:c>
    </ns0:row>
    <ns0:row r="16" ht="24" customHeight="1">
      <ns0:c r="A16" s="39" t="n">
        <ns0:v>45379</ns0:v>
      </ns0:c>
      <ns0:c r="B16" s="40" t="str">
        <ns0:v>Altmetall Nordufer GmbH</ns0:v>
      </ns0:c>
      <ns0:c r="C16" s="40" t="str">
        <ns0:v>Ankauf Späne und Reststücke</ns0:v>
      </ns0:c>
      <ns0:c r="D16" s="41" t="n">
        <ns0:v>2100</ns0:v>
      </ns0:c>
      <ns0:c r="E16" s="42" t="n">
        <ns0:f>E15+D16</ns0:f>
        <ns0:v>431000</ns0:v>
      </ns0:c>
      <ns0:c r="F16" s="41" t="n">
        <ns0:v>431000</ns0:v>
      </ns0:c>
      <ns0:c r="G16" s="42" t="n">
        <ns0:f>E16-F16</ns0:f>
        <ns0:v>0</ns0:v>
      </ns0:c>
    </ns0:row>
    <ns0:row r="17" ht="19" customHeight="1">
      <ns0:c r="A17" s="2"/>
      <ns0:c r="B17" s="2"/>
      <ns0:c r="C17" s="2"/>
      <ns0:c r="D17" s="2"/>
      <ns0:c r="E17" s="2"/>
      <ns0:c r="F17" s="2"/>
      <ns0:c r="G17" s="2"/>
    </ns0:row>
    <ns0:row r="18" ht="32" customHeight="1">
      <ns0:c r="A18" s="4" t="str">
        <ns0:v>Quelle: K4 Blatt 17; 30_Buchungsdaten_Geschaeftskonto.csv. Empfänger, Zwecke und Beträge entsprechen dem Export. Die Differenz vergleicht die Fortschreibung mit jeder einzelnen Auszugsbuchung.</ns0:v>
      </ns0:c>
      <ns0:c r="B18" s="4"/>
      <ns0:c r="C18" s="4"/>
      <ns0:c r="D18" s="4"/>
      <ns0:c r="E18" s="4"/>
      <ns0:c r="F18" s="4"/>
      <ns0:c r="G18" s="4"/>
    </ns0:row>
    <ns0:row r="19" ht="30" customHeight="1">
      <ns0:c r="A19" s="4" t="str">
        <ns0:v>Keine zusätzlichen Konten oder Kreditlinien erfasst. Der ausgewiesene Saldo ist ein Kontoguthaben, kein vollständiger Status aller fälligen Verpflichtungen. Bearbeitungsvermerk vom 11.06.2026.</ns0:v>
      </ns0:c>
      <ns0:c r="B19" s="4"/>
      <ns0:c r="C19" s="4"/>
      <ns0:c r="D19" s="4"/>
      <ns0:c r="E19" s="4"/>
      <ns0:c r="F19" s="4"/>
      <ns0:c r="G19" s="4"/>
    </ns0:row>
    <ns0:row r="20" ht="19" customHeight="1">
      <ns0:c r="A20" s="2"/>
      <ns0:c r="B20" s="2"/>
      <ns0:c r="C20" s="2"/>
      <ns0:c r="D20" s="2"/>
      <ns0:c r="E20" s="2"/>
      <ns0:c r="F20" s="2"/>
      <ns0:c r="G20" s="2"/>
    </ns0:row>
    <ns0:row r="21" ht="19" customHeight="1">
      <ns0:c r="A21" s="2"/>
      <ns0:c r="B21" s="2"/>
      <ns0:c r="C21" s="2"/>
      <ns0:c r="D21" s="2"/>
      <ns0:c r="E21" s="2"/>
      <ns0:c r="F21" s="2"/>
      <ns0:c r="G21" s="2"/>
    </ns0:row>
    <ns0:row r="22" ht="19" customHeight="1">
      <ns0:c r="A22" s="2"/>
      <ns0:c r="B22" s="2"/>
      <ns0:c r="C22" s="2"/>
      <ns0:c r="D22" s="2"/>
      <ns0:c r="E22" s="2"/>
      <ns0:c r="F22" s="2"/>
      <ns0:c r="G22" s="2"/>
    </ns0:row>
    <ns0:row r="23" ht="19" customHeight="1">
      <ns0:c r="A23" s="2"/>
      <ns0:c r="B23" s="2"/>
      <ns0:c r="C23" s="2"/>
      <ns0:c r="D23" s="2"/>
      <ns0:c r="E23" s="2"/>
      <ns0:c r="F23" s="2"/>
      <ns0:c r="G23" s="2"/>
    </ns0:row>
  </ns0:sheetData>
  <ns0:mergeCells>
    <ns0:mergeCell ref="A2:G2"/>
    <ns0:mergeCell ref="A18:G18"/>
    <ns0:mergeCell ref="A19:G19"/>
  </ns0:mergeCells>
  <ns0:pageMargins left="0.3" right="0.3" top="0.35" bottom="0.4" header="0.15" footer="0.15"/>
  <ns0:pageSetup paperSize="9" orientation="landscape" fitToWidth="1" fitToHeight="0"/>
  <ns0:headerFooter>
    <ns0:oddFooter>&amp;LNF-WP-221014-01&amp;C&amp;A&amp;RSeite &amp;P / &amp;N</ns0:oddFooter>
  </ns0:headerFooter>
</ns0:worksheet>
</file>

<file path=xl/worksheets/sheet2.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12.779999732971191" hidden="0" customWidth="1"/>
    <ns0:col min="2" max="2" width="23.889999389648438" hidden="0" customWidth="1"/>
    <ns0:col min="3" max="3" width="31.110000610351562" hidden="0" customWidth="1"/>
    <ns0:col min="4" max="4" width="13.890000343322754" hidden="0" customWidth="1"/>
    <ns0:col min="5" max="5" width="15" hidden="0" customWidth="1"/>
    <ns0:col min="6" max="6" width="15" hidden="0" customWidth="1"/>
    <ns0:col min="7" max="7" width="11.109999656677246" hidden="0" customWidth="1"/>
  </ns0:cols>
  <ns0:sheetData>
    <ns0:row r="1" ht="27" customHeight="1">
      <ns0:c r="A1" s="3" t="str">
        <ns0:v>1.2. Kontobuchungen April 2024</ns0:v>
      </ns0:c>
      <ns0:c r="B1" s="2"/>
      <ns0:c r="C1" s="2"/>
      <ns0:c r="D1" s="2"/>
      <ns0:c r="E1" s="2"/>
      <ns0:c r="F1" s="2"/>
      <ns0:c r="G1" s="2"/>
    </ns0:row>
    <ns0:row r="2" ht="26" customHeight="1">
      <ns0:c r="A2" s="4" t="str">
        <ns0:v>Weserfunken Präzisionsbau GmbH | Jutta Kröger | Abgleich 11.06.2026 | Konto 01728400</ns0:v>
      </ns0:c>
      <ns0:c r="B2" s="4"/>
      <ns0:c r="C2" s="4"/>
      <ns0:c r="D2" s="4"/>
      <ns0:c r="E2" s="4"/>
      <ns0:c r="F2" s="4"/>
      <ns0:c r="G2" s="4"/>
    </ns0:row>
    <ns0:row r="3" ht="19" customHeight="1">
      <ns0:c r="A3" s="2" t="str">
        <ns0:v>Vortrag EUR</ns0:v>
      </ns0:c>
      <ns0:c r="B3" s="2"/>
      <ns0:c r="C3" s="2"/>
      <ns0:c r="D3" s="2"/>
      <ns0:c r="E3" s="5" t="n">
        <ns0:v>431000</ns0:v>
      </ns0:c>
      <ns0:c r="F3" s="2"/>
      <ns0:c r="G3" s="2"/>
    </ns0:row>
    <ns0:row r="4" ht="28" customHeight="1">
      <ns0:c r="A4" s="8" t="str">
        <ns0:v>Datum</ns0:v>
      </ns0:c>
      <ns0:c r="B4" s="8" t="str">
        <ns0:v>Gegenkonto / Empfänger</ns0:v>
      </ns0:c>
      <ns0:c r="C4" s="8" t="str">
        <ns0:v>Verwendungszweck</ns0:v>
      </ns0:c>
      <ns0:c r="D4" s="8" t="str">
        <ns0:v>Betrag EUR</ns0:v>
      </ns0:c>
      <ns0:c r="E4" s="8" t="str">
        <ns0:v>Berechnet EUR</ns0:v>
      </ns0:c>
      <ns0:c r="F4" s="8" t="str">
        <ns0:v>K4-Saldo EUR</ns0:v>
      </ns0:c>
      <ns0:c r="G4" s="8" t="str">
        <ns0:v>Differenz EUR</ns0:v>
      </ns0:c>
    </ns0:row>
    <ns0:row r="5" ht="27" customHeight="1">
      <ns0:c r="A5" s="23" t="n">
        <ns0:v>45384</ns0:v>
      </ns0:c>
      <ns0:c r="B5" s="24" t="str">
        <ns0:v>Nordhafen Antriebstechnik GmbH</ns0:v>
      </ns0:c>
      <ns0:c r="C5" s="24" t="str">
        <ns0:v>Sammelzahlung Ventilblöcke, Projekt N42</ns0:v>
      </ns0:c>
      <ns0:c r="D5" s="25" t="n">
        <ns0:v>598600</ns0:v>
      </ns0:c>
      <ns0:c r="E5" s="26" t="n">
        <ns0:f>E3+D5</ns0:f>
        <ns0:v>1029600</ns0:v>
      </ns0:c>
      <ns0:c r="F5" s="25" t="n">
        <ns0:v>1029600</ns0:v>
      </ns0:c>
      <ns0:c r="G5" s="26" t="n">
        <ns0:f>E5-F5</ns0:f>
        <ns0:v>0</ns0:v>
      </ns0:c>
    </ns0:row>
    <ns0:row r="6" ht="27" customHeight="1">
      <ns0:c r="A6" s="27" t="n">
        <ns0:v>45386</ns0:v>
      </ns0:c>
      <ns0:c r="B6" s="28" t="str">
        <ns0:v>Hanseblech Zuschnitt GmbH</ns0:v>
      </ns0:c>
      <ns0:c r="C6" s="28" t="str">
        <ns0:v>Werkstofflieferung HB-2024-04</ns0:v>
      </ns0:c>
      <ns0:c r="D6" s="29" t="n">
        <ns0:v>-21300</ns0:v>
      </ns0:c>
      <ns0:c r="E6" s="30" t="n">
        <ns0:f>E5+D6</ns0:f>
        <ns0:v>1008300</ns0:v>
      </ns0:c>
      <ns0:c r="F6" s="29" t="n">
        <ns0:v>1008300</ns0:v>
      </ns0:c>
      <ns0:c r="G6" s="30" t="n">
        <ns0:f>E6-F6</ns0:f>
        <ns0:v>0</ns0:v>
      </ns0:c>
    </ns0:row>
    <ns0:row r="7" ht="27" customHeight="1">
      <ns0:c r="A7" s="27" t="n">
        <ns0:v>45388</ns0:v>
      </ns0:c>
      <ns0:c r="B7" s="28" t="str">
        <ns0:v>Werftkomponenten Kroll KG</ns0:v>
      </ns0:c>
      <ns0:c r="C7" s="28" t="str">
        <ns0:v>Messgehäuse WK-2024-04</ns0:v>
      </ns0:c>
      <ns0:c r="D7" s="29" t="n">
        <ns0:v>26800</ns0:v>
      </ns0:c>
      <ns0:c r="E7" s="30" t="n">
        <ns0:f>E6+D7</ns0:f>
        <ns0:v>1035100</ns0:v>
      </ns0:c>
      <ns0:c r="F7" s="29" t="n">
        <ns0:v>1035100</ns0:v>
      </ns0:c>
      <ns0:c r="G7" s="30" t="n">
        <ns0:f>E7-F7</ns0:f>
        <ns0:v>0</ns0:v>
      </ns0:c>
    </ns0:row>
    <ns0:row r="8" ht="27" customHeight="1">
      <ns0:c r="A8" s="27" t="n">
        <ns0:v>45390</ns0:v>
      </ns0:c>
      <ns0:c r="B8" s="28" t="str">
        <ns0:v>Gewerbehof Hüttenstraße KG</ns0:v>
      </ns0:c>
      <ns0:c r="C8" s="28" t="str">
        <ns0:v>Miete Halle 4 und Nebenkosten</ns0:v>
      </ns0:c>
      <ns0:c r="D8" s="29" t="n">
        <ns0:v>-9200</ns0:v>
      </ns0:c>
      <ns0:c r="E8" s="30" t="n">
        <ns0:f>E7+D8</ns0:f>
        <ns0:v>1025900</ns0:v>
      </ns0:c>
      <ns0:c r="F8" s="29" t="n">
        <ns0:v>1025900</ns0:v>
      </ns0:c>
      <ns0:c r="G8" s="30" t="n">
        <ns0:f>E8-F8</ns0:f>
        <ns0:v>0</ns0:v>
      </ns0:c>
    </ns0:row>
    <ns0:row r="9" ht="27" customHeight="1">
      <ns0:c r="A9" s="27" t="n">
        <ns0:v>45397</ns0:v>
      </ns0:c>
      <ns0:c r="B9" s="28" t="str">
        <ns0:v>Vellio Finance GmbH</ns0:v>
      </ns0:c>
      <ns0:c r="C9" s="28" t="str">
        <ns0:v>NF-WP-221014-01 Zinsperiode 18</ns0:v>
      </ns0:c>
      <ns0:c r="D9" s="29" t="n">
        <ns0:v>-5000</ns0:v>
      </ns0:c>
      <ns0:c r="E9" s="30" t="n">
        <ns0:f>E8+D9</ns0:f>
        <ns0:v>1020900</ns0:v>
      </ns0:c>
      <ns0:c r="F9" s="29" t="n">
        <ns0:v>1020900</ns0:v>
      </ns0:c>
      <ns0:c r="G9" s="30" t="n">
        <ns0:f>E9-F9</ns0:f>
        <ns0:v>0</ns0:v>
      </ns0:c>
    </ns0:row>
    <ns0:row r="10" ht="27" customHeight="1">
      <ns0:c r="A10" s="27" t="n">
        <ns0:v>45397</ns0:v>
      </ns0:c>
      <ns0:c r="B10" s="28" t="str">
        <ns0:v>Vellio Finance GmbH</ns0:v>
      </ns0:c>
      <ns0:c r="C10" s="28" t="str">
        <ns0:v>NF-WP-221014-01 Endtilgung</ns0:v>
      </ns0:c>
      <ns0:c r="D10" s="29" t="n">
        <ns0:v>-500000</ns0:v>
      </ns0:c>
      <ns0:c r="E10" s="30" t="n">
        <ns0:f>E9+D10</ns0:f>
        <ns0:v>520900</ns0:v>
      </ns0:c>
      <ns0:c r="F10" s="29" t="n">
        <ns0:v>520900</ns0:v>
      </ns0:c>
      <ns0:c r="G10" s="30" t="n">
        <ns0:f>E10-F10</ns0:f>
        <ns0:v>0</ns0:v>
      </ns0:c>
    </ns0:row>
    <ns0:row r="11" ht="27" customHeight="1">
      <ns0:c r="A11" s="27" t="n">
        <ns0:v>45400</ns0:v>
      </ns0:c>
      <ns0:c r="B11" s="28" t="str">
        <ns0:v>Prüftechnik Bruns GmbH</ns0:v>
      </ns0:c>
      <ns0:c r="C11" s="28" t="str">
        <ns0:v>Dichtheitsprüfungen und Materialzeugnisse</ns0:v>
      </ns0:c>
      <ns0:c r="D11" s="29" t="n">
        <ns0:v>-8400</ns0:v>
      </ns0:c>
      <ns0:c r="E11" s="30" t="n">
        <ns0:f>E10+D11</ns0:f>
        <ns0:v>512500</ns0:v>
      </ns0:c>
      <ns0:c r="F11" s="29" t="n">
        <ns0:v>512500</ns0:v>
      </ns0:c>
      <ns0:c r="G11" s="30" t="n">
        <ns0:f>E11-F11</ns0:f>
        <ns0:v>0</ns0:v>
      </ns0:c>
    </ns0:row>
    <ns0:row r="12" ht="27" customHeight="1">
      <ns0:c r="A12" s="27" t="n">
        <ns0:v>45402</ns0:v>
      </ns0:c>
      <ns0:c r="B12" s="28" t="str">
        <ns0:v>Versorgungswerke Weserbogen GmbH</ns0:v>
      </ns0:c>
      <ns0:c r="C12" s="28" t="str">
        <ns0:v>Strom- und Wärmeabschlag Werkhalle</ns0:v>
      </ns0:c>
      <ns0:c r="D12" s="29" t="n">
        <ns0:v>-4700</ns0:v>
      </ns0:c>
      <ns0:c r="E12" s="30" t="n">
        <ns0:f>E11+D12</ns0:f>
        <ns0:v>507800</ns0:v>
      </ns0:c>
      <ns0:c r="F12" s="29" t="n">
        <ns0:v>507800</ns0:v>
      </ns0:c>
      <ns0:c r="G12" s="30" t="n">
        <ns0:f>E12-F12</ns0:f>
        <ns0:v>0</ns0:v>
      </ns0:c>
    </ns0:row>
    <ns0:row r="13" ht="27" customHeight="1">
      <ns0:c r="A13" s="27" t="n">
        <ns0:v>45404</ns0:v>
      </ns0:c>
      <ns0:c r="B13" s="28" t="str">
        <ns0:v>Finanzkasse Bremen</ns0:v>
      </ns0:c>
      <ns0:c r="C13" s="28" t="str">
        <ns0:v>Abgaben, Buchungsreferenz 72-481</ns0:v>
      </ns0:c>
      <ns0:c r="D13" s="29" t="n">
        <ns0:v>-18600</ns0:v>
      </ns0:c>
      <ns0:c r="E13" s="30" t="n">
        <ns0:f>E12+D13</ns0:f>
        <ns0:v>489200</ns0:v>
      </ns0:c>
      <ns0:c r="F13" s="29" t="n">
        <ns0:v>489200</ns0:v>
      </ns0:c>
      <ns0:c r="G13" s="30" t="n">
        <ns0:f>E13-F13</ns0:f>
        <ns0:v>0</ns0:v>
      </ns0:c>
    </ns0:row>
    <ns0:row r="14" ht="27" customHeight="1">
      <ns0:c r="A14" s="27" t="n">
        <ns0:v>45407</ns0:v>
      </ns0:c>
      <ns0:c r="B14" s="28" t="str">
        <ns0:v>Beschäftigte Weserfunken</ns0:v>
      </ns0:c>
      <ns0:c r="C14" s="28" t="str">
        <ns0:v>Sammelüberweisung Löhne und Gehälter</ns0:v>
      </ns0:c>
      <ns0:c r="D14" s="29" t="n">
        <ns0:v>-64200</ns0:v>
      </ns0:c>
      <ns0:c r="E14" s="30" t="n">
        <ns0:f>E13+D14</ns0:f>
        <ns0:v>425000</ns0:v>
      </ns0:c>
      <ns0:c r="F14" s="29" t="n">
        <ns0:v>425000</ns0:v>
      </ns0:c>
      <ns0:c r="G14" s="30" t="n">
        <ns0:f>E14-F14</ns0:f>
        <ns0:v>0</ns0:v>
      </ns0:c>
    </ns0:row>
    <ns0:row r="15" ht="27" customHeight="1">
      <ns0:c r="A15" s="27" t="n">
        <ns0:v>45409</ns0:v>
      </ns0:c>
      <ns0:c r="B15" s="28" t="str">
        <ns0:v>Sozialkassen</ns0:v>
      </ns0:c>
      <ns0:c r="C15" s="28" t="str">
        <ns0:v>Beitragsnachweise laufender Monat</ns0:v>
      </ns0:c>
      <ns0:c r="D15" s="29" t="n">
        <ns0:v>-27900</ns0:v>
      </ns0:c>
      <ns0:c r="E15" s="30" t="n">
        <ns0:f>E14+D15</ns0:f>
        <ns0:v>397100</ns0:v>
      </ns0:c>
      <ns0:c r="F15" s="29" t="n">
        <ns0:v>397100</ns0:v>
      </ns0:c>
      <ns0:c r="G15" s="30" t="n">
        <ns0:f>E15-F15</ns0:f>
        <ns0:v>0</ns0:v>
      </ns0:c>
    </ns0:row>
    <ns0:row r="16" ht="27" customHeight="1">
      <ns0:c r="A16" s="27" t="n">
        <ns0:v>45410</ns0:v>
      </ns0:c>
      <ns0:c r="B16" s="28" t="str">
        <ns0:v>Werkzeugservice Evers GmbH</ns0:v>
      </ns0:c>
      <ns0:c r="C16" s="28" t="str">
        <ns0:v>Fräser, Bohrer und Instandsetzung Spindel</ns0:v>
      </ns0:c>
      <ns0:c r="D16" s="29" t="n">
        <ns0:v>-16200</ns0:v>
      </ns0:c>
      <ns0:c r="E16" s="30" t="n">
        <ns0:f>E15+D16</ns0:f>
        <ns0:v>380900</ns0:v>
      </ns0:c>
      <ns0:c r="F16" s="29" t="n">
        <ns0:v>380900</ns0:v>
      </ns0:c>
      <ns0:c r="G16" s="30" t="n">
        <ns0:f>E16-F16</ns0:f>
        <ns0:v>0</ns0:v>
      </ns0:c>
    </ns0:row>
    <ns0:row r="17" ht="24" customHeight="1">
      <ns0:c r="A17" s="39" t="n">
        <ns0:v>45410</ns0:v>
      </ns0:c>
      <ns0:c r="B17" s="40" t="str">
        <ns0:v>Altmetall Nordufer GmbH</ns0:v>
      </ns0:c>
      <ns0:c r="C17" s="40" t="str">
        <ns0:v>Ankauf Späne und Reststücke</ns0:v>
      </ns0:c>
      <ns0:c r="D17" s="41" t="n">
        <ns0:v>2100</ns0:v>
      </ns0:c>
      <ns0:c r="E17" s="42" t="n">
        <ns0:f>E16+D17</ns0:f>
        <ns0:v>383000</ns0:v>
      </ns0:c>
      <ns0:c r="F17" s="41" t="n">
        <ns0:v>383000</ns0:v>
      </ns0:c>
      <ns0:c r="G17" s="42" t="n">
        <ns0:f>E17-F17</ns0:f>
        <ns0:v>0</ns0:v>
      </ns0:c>
    </ns0:row>
    <ns0:row r="18" ht="19" customHeight="1">
      <ns0:c r="A18" s="2"/>
      <ns0:c r="B18" s="2"/>
      <ns0:c r="C18" s="2"/>
      <ns0:c r="D18" s="2"/>
      <ns0:c r="E18" s="2"/>
      <ns0:c r="F18" s="2"/>
      <ns0:c r="G18" s="2"/>
    </ns0:row>
    <ns0:row r="19" ht="32" customHeight="1">
      <ns0:c r="A19" s="4" t="str">
        <ns0:v>Quelle: K4 Blatt 18; 30_Buchungsdaten_Geschaeftskonto.csv. Empfänger, Zwecke und Beträge entsprechen dem Export. Die Differenz vergleicht die Fortschreibung mit jeder einzelnen Auszugsbuchung.</ns0:v>
      </ns0:c>
      <ns0:c r="B19" s="4"/>
      <ns0:c r="C19" s="4"/>
      <ns0:c r="D19" s="4"/>
      <ns0:c r="E19" s="4"/>
      <ns0:c r="F19" s="4"/>
      <ns0:c r="G19" s="4"/>
    </ns0:row>
    <ns0:row r="20" ht="30" customHeight="1">
      <ns0:c r="A20" s="4" t="str">
        <ns0:v>Keine zusätzlichen Konten oder Kreditlinien erfasst. Der ausgewiesene Saldo ist ein Kontoguthaben, kein vollständiger Status aller fälligen Verpflichtungen. Bearbeitungsvermerk vom 11.06.2026.</ns0:v>
      </ns0:c>
      <ns0:c r="B20" s="4"/>
      <ns0:c r="C20" s="4"/>
      <ns0:c r="D20" s="4"/>
      <ns0:c r="E20" s="4"/>
      <ns0:c r="F20" s="4"/>
      <ns0:c r="G20" s="4"/>
    </ns0:row>
    <ns0:row r="21" ht="19" customHeight="1">
      <ns0:c r="A21" s="2"/>
      <ns0:c r="B21" s="2"/>
      <ns0:c r="C21" s="2"/>
      <ns0:c r="D21" s="2"/>
      <ns0:c r="E21" s="2"/>
      <ns0:c r="F21" s="2"/>
      <ns0:c r="G21" s="2"/>
    </ns0:row>
    <ns0:row r="22" ht="19" customHeight="1">
      <ns0:c r="A22" s="2"/>
      <ns0:c r="B22" s="2"/>
      <ns0:c r="C22" s="2"/>
      <ns0:c r="D22" s="2"/>
      <ns0:c r="E22" s="2"/>
      <ns0:c r="F22" s="2"/>
      <ns0:c r="G22" s="2"/>
    </ns0:row>
    <ns0:row r="23" ht="19" customHeight="1">
      <ns0:c r="A23" s="2"/>
      <ns0:c r="B23" s="2"/>
      <ns0:c r="C23" s="2"/>
      <ns0:c r="D23" s="2"/>
      <ns0:c r="E23" s="2"/>
      <ns0:c r="F23" s="2"/>
      <ns0:c r="G23" s="2"/>
    </ns0:row>
  </ns0:sheetData>
  <ns0:mergeCells>
    <ns0:mergeCell ref="A2:G2"/>
    <ns0:mergeCell ref="A19:G19"/>
    <ns0:mergeCell ref="A20:G20"/>
  </ns0:mergeCells>
  <ns0:pageMargins left="0.3" right="0.3" top="0.35" bottom="0.4" header="0.15" footer="0.15"/>
  <ns0:pageSetup paperSize="9" orientation="landscape" fitToWidth="1" fitToHeight="0"/>
  <ns0:headerFooter>
    <ns0:oddFooter>&amp;LNF-WP-221014-01&amp;C&amp;A&amp;RSeite &amp;P / &amp;N</ns0:oddFooter>
  </ns0:headerFooter>
</ns0:worksheet>
</file>

<file path=xl/worksheets/sheet3.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24.440000534057617" hidden="0" customWidth="1"/>
    <ns0:col min="2" max="2" width="20.329999923706055" hidden="0" customWidth="1"/>
    <ns0:col min="3" max="3" width="13.670000076293945" hidden="0" customWidth="1"/>
    <ns0:col min="4" max="4" width="13.779999732971191" hidden="0" customWidth="1"/>
    <ns0:col min="5" max="5" width="16.110000610351562" hidden="0" customWidth="1"/>
    <ns0:col min="6" max="6" width="24.440000534057617" hidden="0" customWidth="1"/>
  </ns0:cols>
  <ns0:sheetData>
    <ns0:row r="1" ht="27" customHeight="1">
      <ns0:c r="A1" s="3" t="str">
        <ns0:v>2. Ausgewählte offene Lieferantenposten</ns0:v>
      </ns0:c>
      <ns0:c r="B1" s="2"/>
      <ns0:c r="C1" s="2"/>
      <ns0:c r="D1" s="2"/>
      <ns0:c r="E1" s="2"/>
      <ns0:c r="F1" s="2"/>
    </ns0:row>
    <ns0:row r="2" ht="26" customHeight="1">
      <ns0:c r="A2" s="4" t="str">
        <ns0:v>Weserfunken Präzisionsbau GmbH | K7, Blätter 2 und 3 | Stand 15.04.2024, 16:30 Uhr</ns0:v>
      </ns0:c>
      <ns0:c r="B2" s="4"/>
      <ns0:c r="C2" s="4"/>
      <ns0:c r="D2" s="4"/>
      <ns0:c r="E2" s="4"/>
      <ns0:c r="F2" s="4"/>
    </ns0:row>
    <ns0:row r="3" ht="19" customHeight="1">
      <ns0:c r="A3" s="2"/>
      <ns0:c r="B3" s="2"/>
      <ns0:c r="C3" s="2"/>
      <ns0:c r="D3" s="2"/>
      <ns0:c r="E3" s="2"/>
      <ns0:c r="F3" s="2"/>
    </ns0:row>
    <ns0:row r="4" ht="28" customHeight="1">
      <ns0:c r="A4" s="8" t="str">
        <ns0:v>Konto / Gläubiger</ns0:v>
      </ns0:c>
      <ns0:c r="B4" s="8" t="str">
        <ns0:v>Rechnung</ns0:v>
      </ns0:c>
      <ns0:c r="C4" s="8" t="str">
        <ns0:v>Belegdatum</ns0:v>
      </ns0:c>
      <ns0:c r="D4" s="8" t="str">
        <ns0:v>Fällig</ns0:v>
      </ns0:c>
      <ns0:c r="E4" s="8" t="str">
        <ns0:v>Offen brutto EUR</ns0:v>
      </ns0:c>
      <ns0:c r="F4" s="8" t="str">
        <ns0:v>Beleg</ns0:v>
      </ns0:c>
    </ns0:row>
    <ns0:row r="5" ht="24" customHeight="1">
      <ns0:c r="A5" s="24" t="str">
        <ns0:v>70011 Nordkai</ns0:v>
      </ns0:c>
      <ns0:c r="B5" s="24" t="str">
        <ns0:v>NA-240212-17</ns0:v>
      </ns0:c>
      <ns0:c r="C5" s="47" t="n">
        <ns0:v>45334</ns0:v>
      </ns0:c>
      <ns0:c r="D5" s="47" t="n">
        <ns0:v>45363</ns0:v>
      </ns0:c>
      <ns0:c r="E5" s="26" t="n">
        <ns0:v>42840</ns0:v>
      </ns0:c>
      <ns0:c r="F5" s="24" t="str">
        <ns0:v>K7 Blatt 2</ns0:v>
      </ns0:c>
    </ns0:row>
    <ns0:row r="6" ht="24" customHeight="1">
      <ns0:c r="A6" s="28" t="str">
        <ns0:v>70012 Dichtungswerke</ns0:v>
      </ns0:c>
      <ns0:c r="B6" s="28" t="str">
        <ns0:v>HD-240223-09</ns0:v>
      </ns0:c>
      <ns0:c r="C6" s="48" t="n">
        <ns0:v>45345</ns0:v>
      </ns0:c>
      <ns0:c r="D6" s="48" t="n">
        <ns0:v>45373</ns0:v>
      </ns0:c>
      <ns0:c r="E6" s="30" t="n">
        <ns0:v>32130</ns0:v>
      </ns0:c>
      <ns0:c r="F6" s="28" t="str">
        <ns0:v>K7 Blatt 2</ns0:v>
      </ns0:c>
    </ns0:row>
    <ns0:row r="7" ht="24" customHeight="1">
      <ns0:c r="A7" s="28" t="str">
        <ns0:v>70013 Unterweser</ns0:v>
      </ns0:c>
      <ns0:c r="B7" s="28" t="str">
        <ns0:v>UM-240307-22</ns0:v>
      </ns0:c>
      <ns0:c r="C7" s="48" t="n">
        <ns0:v>45358</ns0:v>
      </ns0:c>
      <ns0:c r="D7" s="48" t="n">
        <ns0:v>45386</ns0:v>
      </ns0:c>
      <ns0:c r="E7" s="30" t="n">
        <ns0:v>21420</ns0:v>
      </ns0:c>
      <ns0:c r="F7" s="28" t="str">
        <ns0:v>K7 Blatt 2</ns0:v>
      </ns0:c>
    </ns0:row>
    <ns0:row r="8" ht="24" customHeight="1">
      <ns0:c r="A8" s="28" t="str">
        <ns0:v>70031 Hafenrohling</ns0:v>
      </ns0:c>
      <ns0:c r="B8" s="28" t="str">
        <ns0:v>HM-240311-08</ns0:v>
      </ns0:c>
      <ns0:c r="C8" s="48" t="n">
        <ns0:v>45362</ns0:v>
      </ns0:c>
      <ns0:c r="D8" s="48" t="n">
        <ns0:v>45392</ns0:v>
      </ns0:c>
      <ns0:c r="E8" s="30" t="n">
        <ns0:v>178500</ns0:v>
      </ns0:c>
      <ns0:c r="F8" s="28" t="str">
        <ns0:v>K7 Blatt 2</ns0:v>
      </ns0:c>
    </ns0:row>
    <ns0:row r="9" ht="24" customHeight="1">
      <ns0:c r="A9" s="28" t="str">
        <ns0:v>70032 Fockenhafen</ns0:v>
      </ns0:c>
      <ns0:c r="B9" s="28" t="str">
        <ns0:v>FL-240312-04</ns0:v>
      </ns0:c>
      <ns0:c r="C9" s="48" t="n">
        <ns0:v>45363</ns0:v>
      </ns0:c>
      <ns0:c r="D9" s="48" t="n">
        <ns0:v>45393</ns0:v>
      </ns0:c>
      <ns0:c r="E9" s="30" t="n">
        <ns0:v>95200</ns0:v>
      </ns0:c>
      <ns0:c r="F9" s="28" t="str">
        <ns0:v>K7 Blatt 2</ns0:v>
      </ns0:c>
    </ns0:row>
    <ns0:row r="10" ht="24" customHeight="1">
      <ns0:c r="A10" s="28" t="str">
        <ns0:v>70033 Förde</ns0:v>
      </ns0:c>
      <ns0:c r="B10" s="28" t="str">
        <ns0:v>FS-240315-16</ns0:v>
      </ns0:c>
      <ns0:c r="C10" s="48" t="n">
        <ns0:v>45366</ns0:v>
      </ns0:c>
      <ns0:c r="D10" s="48" t="n">
        <ns0:v>45397</ns0:v>
      </ns0:c>
      <ns0:c r="E10" s="30" t="n">
        <ns0:v>83300</ns0:v>
      </ns0:c>
      <ns0:c r="F10" s="28" t="str">
        <ns0:v>K7 Blatt 2</ns0:v>
      </ns0:c>
    </ns0:row>
    <ns0:row r="11" ht="24" customHeight="1">
      <ns0:c r="A11" s="28" t="str">
        <ns0:v>70021 Dockmetall</ns0:v>
      </ns0:c>
      <ns0:c r="B11" s="28" t="str">
        <ns0:v>DZ-240219-04</ns0:v>
      </ns0:c>
      <ns0:c r="C11" s="48" t="n">
        <ns0:v>45341</ns0:v>
      </ns0:c>
      <ns0:c r="D11" s="48" t="n">
        <ns0:v>45371</ns0:v>
      </ns0:c>
      <ns0:c r="E11" s="30" t="n">
        <ns0:v>7140</ns0:v>
      </ns0:c>
      <ns0:c r="F11" s="28" t="str">
        <ns0:v>K7 Blatt 3</ns0:v>
      </ns0:c>
    </ns0:row>
    <ns0:row r="12" ht="24" customHeight="1">
      <ns0:c r="A12" s="28" t="str">
        <ns0:v>70022 Strompfad</ns0:v>
      </ns0:c>
      <ns0:c r="B12" s="28" t="str">
        <ns0:v>SI-240225-11</ns0:v>
      </ns0:c>
      <ns0:c r="C12" s="48" t="n">
        <ns0:v>45347</ns0:v>
      </ns0:c>
      <ns0:c r="D12" s="48" t="n">
        <ns0:v>45376</ns0:v>
      </ns0:c>
      <ns0:c r="E12" s="30" t="n">
        <ns0:v>4760</ns0:v>
      </ns0:c>
      <ns0:c r="F12" s="28" t="str">
        <ns0:v>K7 Blatt 3</ns0:v>
      </ns0:c>
    </ns0:row>
    <ns0:row r="13" ht="24" customHeight="1">
      <ns0:c r="A13" s="28" t="str">
        <ns0:v>70023 Fräswerk</ns0:v>
      </ns0:c>
      <ns0:c r="B13" s="28" t="str">
        <ns0:v>FW-240305-18</ns0:v>
      </ns0:c>
      <ns0:c r="C13" s="48" t="n">
        <ns0:v>45356</ns0:v>
      </ns0:c>
      <ns0:c r="D13" s="48" t="n">
        <ns0:v>45384</ns0:v>
      </ns0:c>
      <ns0:c r="E13" s="30" t="n">
        <ns0:v>5950</ns0:v>
      </ns0:c>
      <ns0:c r="F13" s="28" t="str">
        <ns0:v>K7 Blatt 3</ns0:v>
      </ns0:c>
    </ns0:row>
    <ns0:row r="14" ht="24" customHeight="1">
      <ns0:c r="A14" s="28" t="str">
        <ns0:v>70024 Hafenlinie</ns0:v>
      </ns0:c>
      <ns0:c r="B14" s="28" t="str">
        <ns0:v>HT-240308-31</ns0:v>
      </ns0:c>
      <ns0:c r="C14" s="48" t="n">
        <ns0:v>45359</ns0:v>
      </ns0:c>
      <ns0:c r="D14" s="48" t="n">
        <ns0:v>45387</ns0:v>
      </ns0:c>
      <ns0:c r="E14" s="30" t="n">
        <ns0:v>3570</ns0:v>
      </ns0:c>
      <ns0:c r="F14" s="28" t="str">
        <ns0:v>K7 Blatt 3</ns0:v>
      </ns0:c>
    </ns0:row>
    <ns0:row r="15" ht="24" customHeight="1">
      <ns0:c r="A15" s="28" t="str">
        <ns0:v>70025 Küstengas</ns0:v>
      </ns0:c>
      <ns0:c r="B15" s="28" t="str">
        <ns0:v>KT-240311-05</ns0:v>
      </ns0:c>
      <ns0:c r="C15" s="48" t="n">
        <ns0:v>45362</ns0:v>
      </ns0:c>
      <ns0:c r="D15" s="48" t="n">
        <ns0:v>45390</ns0:v>
      </ns0:c>
      <ns0:c r="E15" s="30" t="n">
        <ns0:v>2380</ns0:v>
      </ns0:c>
      <ns0:c r="F15" s="28" t="str">
        <ns0:v>K7 Blatt 3</ns0:v>
      </ns0:c>
    </ns0:row>
    <ns0:row r="16" ht="24" customHeight="1">
      <ns0:c r="A16" s="32" t="str">
        <ns0:v>70026 Maßpunkt</ns0:v>
      </ns0:c>
      <ns0:c r="B16" s="32" t="str">
        <ns0:v>MK-240315-08</ns0:v>
      </ns0:c>
      <ns0:c r="C16" s="49" t="n">
        <ns0:v>45366</ns0:v>
      </ns0:c>
      <ns0:c r="D16" s="49" t="n">
        <ns0:v>45394</ns0:v>
      </ns0:c>
      <ns0:c r="E16" s="34" t="n">
        <ns0:v>1190</ns0:v>
      </ns0:c>
      <ns0:c r="F16" s="32" t="str">
        <ns0:v>K7 Blatt 3</ns0:v>
      </ns0:c>
    </ns0:row>
    <ns0:row r="17" ht="19" customHeight="1">
      <ns0:c r="A17" s="2"/>
      <ns0:c r="B17" s="2"/>
      <ns0:c r="C17" s="2"/>
      <ns0:c r="D17" s="2"/>
      <ns0:c r="E17" s="5"/>
      <ns0:c r="F17" s="2"/>
    </ns0:row>
    <ns0:row r="18" ht="24" customHeight="1">
      <ns0:c r="A18" s="52" t="str">
        <ns0:v>Summe der 12 Posten</ns0:v>
      </ns0:c>
      <ns0:c r="B18" s="52"/>
      <ns0:c r="C18" s="52"/>
      <ns0:c r="D18" s="52"/>
      <ns0:c r="E18" s="53" t="n">
        <ns0:f>SUM(E5:E16)</ns0:f>
        <ns0:v>478380</ns0:v>
      </ns0:c>
      <ns0:c r="F18" s="52"/>
    </ns0:row>
    <ns0:row r="19" ht="19" customHeight="1">
      <ns0:c r="A19" s="2"/>
      <ns0:c r="B19" s="2"/>
      <ns0:c r="C19" s="2"/>
      <ns0:c r="D19" s="2"/>
      <ns0:c r="E19" s="2"/>
      <ns0:c r="F19" s="2"/>
    </ns0:row>
    <ns0:row r="20" ht="40" customHeight="1">
      <ns0:c r="A20" s="4" t="str">
        <ns0:v>Auswahl für die Zahlungsbesprechung, kein vollständiges Kreditorenverzeichnis. Ausstehende Löhne, Steuern und weitere Verpflichtungen sind hier nicht vollständig zusammengestellt. Mahnungen werden nicht als neue Forderungen hinzugezählt.</ns0:v>
      </ns0:c>
      <ns0:c r="B20" s="4"/>
      <ns0:c r="C20" s="4"/>
      <ns0:c r="D20" s="4"/>
      <ns0:c r="E20" s="4"/>
      <ns0:c r="F20" s="4"/>
    </ns0:row>
    <ns0:row r="21" ht="19" customHeight="1">
      <ns0:c r="A21" s="2"/>
      <ns0:c r="B21" s="2"/>
      <ns0:c r="C21" s="2"/>
      <ns0:c r="D21" s="2"/>
      <ns0:c r="E21" s="2"/>
      <ns0:c r="F21" s="2"/>
    </ns0:row>
    <ns0:row r="22" ht="40" customHeight="1">
      <ns0:c r="A22" s="4" t="str">
        <ns0:v>Alle zwölf Rechnungen sind bis einschließlich 15.04.2024 fällig. Der Auszug enthält keine Ausgleichsbuchung auf diese Posten; die Darlehenszahlung ist separat auf dem Finanzierungskonto erfasst. Zusammengestellt am 11.06.2026 durch Jutta Kröger.</ns0:v>
      </ns0:c>
      <ns0:c r="B22" s="4"/>
      <ns0:c r="C22" s="4"/>
      <ns0:c r="D22" s="4"/>
      <ns0:c r="E22" s="4"/>
      <ns0:c r="F22" s="4"/>
    </ns0:row>
    <ns0:row r="23" ht="19" customHeight="1">
      <ns0:c r="A23" s="2"/>
      <ns0:c r="B23" s="2"/>
      <ns0:c r="C23" s="2"/>
      <ns0:c r="D23" s="2"/>
      <ns0:c r="E23" s="2"/>
      <ns0:c r="F23" s="2"/>
    </ns0:row>
  </ns0:sheetData>
  <ns0:mergeCells>
    <ns0:mergeCell ref="A2:F2"/>
    <ns0:mergeCell ref="A20:F20"/>
    <ns0:mergeCell ref="A22:F22"/>
  </ns0:mergeCells>
  <ns0:pageMargins left="0.3" right="0.3" top="0.35" bottom="0.4" header="0.15" footer="0.15"/>
  <ns0:pageSetup paperSize="9" orientation="landscape" fitToWidth="1" fitToHeight="0"/>
  <ns0:headerFooter>
    <ns0:oddFooter>&amp;LNF-WP-221014-01&amp;C&amp;A&amp;RSeite &amp;P / &amp;N</ns0:oddFooter>
  </ns0:headerFooter>
</ns0:worksheet>
</file>

<file path=xl/worksheets/sheet4.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52.220001220703125" hidden="0" customWidth="1"/>
    <ns0:col min="2" max="2" width="18.889999389648438" hidden="0" customWidth="1"/>
    <ns0:col min="3" max="3" width="36.66999816894531" hidden="0" customWidth="1"/>
  </ns0:cols>
  <ns0:sheetData>
    <ns0:row r="1" ht="27" customHeight="1">
      <ns0:c r="A1" s="3" t="str">
        <ns0:v>3. Stichtagsabgleich</ns0:v>
      </ns0:c>
      <ns0:c r="B1" s="2"/>
      <ns0:c r="C1" s="2"/>
    </ns0:row>
    <ns0:row r="2" ht="26" customHeight="1">
      <ns0:c r="A2" s="4" t="str">
        <ns0:v>Jutta Kröger | 11.06.2026 | Beträge aus K4 und der ausgewählten Kreditorenliste</ns0:v>
      </ns0:c>
      <ns0:c r="B2" s="4"/>
      <ns0:c r="C2" s="4"/>
    </ns0:row>
    <ns0:row r="3" ht="19" customHeight="1">
      <ns0:c r="A3" s="2"/>
      <ns0:c r="B3" s="2"/>
      <ns0:c r="C3" s="2"/>
    </ns0:row>
    <ns0:row r="4" ht="28" customHeight="1">
      <ns0:c r="A4" s="8" t="str">
        <ns0:v>Zeitpunkt / Rechenschritt</ns0:v>
      </ns0:c>
      <ns0:c r="B4" s="8" t="str">
        <ns0:v>Betrag EUR</ns0:v>
      </ns0:c>
      <ns0:c r="C4" s="8" t="str">
        <ns0:v>Verknüpfung</ns0:v>
      </ns0:c>
    </ns0:row>
    <ns0:row r="5" ht="28" customHeight="1">
      <ns0:c r="A5" s="24" t="str">
        <ns0:v>März: Eröffnung</ns0:v>
      </ns0:c>
      <ns0:c r="B5" s="26" t="n">
        <ns0:f>Maerz!E3</ns0:f>
        <ns0:v>421800</ns0:v>
      </ns0:c>
      <ns0:c r="C5" s="24" t="str">
        <ns0:v>K4 Blatt 16 / Vortrag Blatt 17</ns0:v>
      </ns0:c>
    </ns0:row>
    <ns0:row r="6" ht="28" customHeight="1">
      <ns0:c r="A6" s="28" t="str">
        <ns0:v>März: vor Zinszahlung</ns0:v>
      </ns0:c>
      <ns0:c r="B6" s="30" t="n">
        <ns0:f>Maerz!E8</ns0:f>
        <ns0:v>573900</ns0:v>
      </ns0:c>
      <ns0:c r="C6" s="28" t="str">
        <ns0:v>Nach Buchung vom 08.03.2024</ns0:v>
      </ns0:c>
    </ns0:row>
    <ns0:row r="7" ht="28" customHeight="1">
      <ns0:c r="A7" s="28" t="str">
        <ns0:v>März: nach Zinszahlung</ns0:v>
      </ns0:c>
      <ns0:c r="B7" s="30" t="n">
        <ns0:f>Maerz!E9</ns0:f>
        <ns0:v>568900</ns0:v>
      </ns0:c>
      <ns0:c r="C7" s="28" t="str">
        <ns0:v>Nach Buchung vom 15.03.2024</ns0:v>
      </ns0:c>
    </ns0:row>
    <ns0:row r="8" ht="28" customHeight="1">
      <ns0:c r="A8" s="28" t="str">
        <ns0:v>März: Monatsende</ns0:v>
      </ns0:c>
      <ns0:c r="B8" s="30" t="n">
        <ns0:f>Maerz!E16</ns0:f>
        <ns0:v>431000</ns0:v>
      </ns0:c>
      <ns0:c r="C8" s="28" t="str">
        <ns0:v>Letzte Buchung im März</ns0:v>
      </ns0:c>
    </ns0:row>
    <ns0:row r="9" ht="28" customHeight="1">
      <ns0:c r="A9" s="28" t="str">
        <ns0:v>April: vor beiden Darlehenszahlungen</ns0:v>
      </ns0:c>
      <ns0:c r="B9" s="30" t="n">
        <ns0:f>April!E8</ns0:f>
        <ns0:v>1025900</ns0:v>
      </ns0:c>
      <ns0:c r="C9" s="28" t="str">
        <ns0:v>Nach Buchung vom 08.04.2024</ns0:v>
      </ns0:c>
    </ns0:row>
    <ns0:row r="10" ht="28" customHeight="1">
      <ns0:c r="A10" s="28" t="str">
        <ns0:v>April: nach Zins und Endtilgung</ns0:v>
      </ns0:c>
      <ns0:c r="B10" s="30" t="n">
        <ns0:f>April!E10</ns0:f>
        <ns0:v>520900</ns0:v>
      </ns0:c>
      <ns0:c r="C10" s="28" t="str">
        <ns0:v>Nach beiden Aufträgen vom 15.04.2024</ns0:v>
      </ns0:c>
    </ns0:row>
    <ns0:row r="11" ht="28" customHeight="1">
      <ns0:c r="A11" s="28" t="str">
        <ns0:v>April: Monatsende</ns0:v>
      </ns0:c>
      <ns0:c r="B11" s="30" t="n">
        <ns0:f>April!E17</ns0:f>
        <ns0:v>383000</ns0:v>
      </ns0:c>
      <ns0:c r="C11" s="28" t="str">
        <ns0:v>Letzte Buchung im April</ns0:v>
      </ns0:c>
    </ns0:row>
    <ns0:row r="12" ht="28" customHeight="1">
      <ns0:c r="A12" s="28" t="str">
        <ns0:v>Auswahl der bis 15.04. fälligen Kreditoren</ns0:v>
      </ns0:c>
      <ns0:c r="B12" s="30" t="n">
        <ns0:f>OffenePosten!E18</ns0:f>
        <ns0:v>478380</ns0:v>
      </ns0:c>
      <ns0:c r="C12" s="28" t="str">
        <ns0:v>Zwölf Rechnungen; kein Gesamtstatus</ns0:v>
      </ns0:c>
    </ns0:row>
    <ns0:row r="13" ht="24" customHeight="1">
      <ns0:c r="A13" s="40" t="str">
        <ns0:v>Restbetrag nach Abzug nur dieser Auswahl</ns0:v>
      </ns0:c>
      <ns0:c r="B13" s="42" t="n">
        <ns0:f>B10-B12</ns0:f>
        <ns0:v>42520</ns0:v>
      </ns0:c>
      <ns0:c r="C13" s="40" t="str">
        <ns0:v>Kontostand nach Darlehen minus Auswahl</ns0:v>
      </ns0:c>
    </ns0:row>
    <ns0:row r="14" ht="19" customHeight="1">
      <ns0:c r="A14" s="2"/>
      <ns0:c r="B14" s="2"/>
      <ns0:c r="C14" s="2"/>
    </ns0:row>
    <ns0:row r="15" ht="40" customHeight="1">
      <ns0:c r="A15" s="4" t="str">
        <ns0:v>Der Restbetrag ist positiv. Die vorgelegte Auswahl belegt daher für sich keinen Fehlbetrag nach den Zahlungen am 15. April. Sie erlaubt umgekehrt keine Bestätigung, dass sämtliche fälligen Verpflichtungen erfüllt werden konnten.</ns0:v>
      </ns0:c>
      <ns0:c r="B15" s="4"/>
      <ns0:c r="C15" s="4"/>
    </ns0:row>
    <ns0:row r="16" ht="19" customHeight="1">
      <ns0:c r="A16" s="2"/>
      <ns0:c r="B16" s="2"/>
      <ns0:c r="C16" s="2"/>
    </ns0:row>
    <ns0:row r="17" ht="40" customHeight="1">
      <ns0:c r="A17" s="4" t="str">
        <ns0:v>Für einen vollständigen Abgleich wären weitere damals fällige Verpflichtungen, ihre Belege und verfügbare Mittel gesondert aufzunehmen. Hier werden keine unbelegten Zusatzverbindlichkeiten oder freien Kreditlinien angesetzt.</ns0:v>
      </ns0:c>
      <ns0:c r="B17" s="4"/>
      <ns0:c r="C17" s="4"/>
    </ns0:row>
    <ns0:row r="18" ht="19" customHeight="1">
      <ns0:c r="A18" s="2"/>
      <ns0:c r="B18" s="2"/>
      <ns0:c r="C18" s="2"/>
    </ns0:row>
    <ns0:row r="19" ht="40" customHeight="1">
      <ns0:c r="A19" s="4" t="str">
        <ns0:v>Die Rückforderung Nordhafen vom 02.05.2024 gehört nicht in die April-Auswahl. Der nachfolgende Mai-Vermerk stellt nur den späteren, separat dokumentierten Vorgang dar; eine frühere Fälligkeit wird daraus nicht abgeleitet.</ns0:v>
      </ns0:c>
      <ns0:c r="B19" s="4"/>
      <ns0:c r="C19" s="4"/>
    </ns0:row>
    <ns0:row r="20" ht="19" customHeight="1">
      <ns0:c r="A20" s="2"/>
      <ns0:c r="B20" s="2"/>
      <ns0:c r="C20" s="2"/>
    </ns0:row>
    <ns0:row r="21" ht="19" customHeight="1">
      <ns0:c r="A21" s="2"/>
      <ns0:c r="B21" s="2"/>
      <ns0:c r="C21" s="2"/>
    </ns0:row>
    <ns0:row r="22" ht="19" customHeight="1">
      <ns0:c r="A22" s="2"/>
      <ns0:c r="B22" s="2"/>
      <ns0:c r="C22" s="2"/>
    </ns0:row>
  </ns0:sheetData>
  <ns0:mergeCells>
    <ns0:mergeCell ref="A2:C2"/>
    <ns0:mergeCell ref="A15:C15"/>
    <ns0:mergeCell ref="A17:C17"/>
    <ns0:mergeCell ref="A19:C19"/>
  </ns0:mergeCells>
  <ns0:pageMargins left="0.3" right="0.3" top="0.35" bottom="0.4" header="0.15" footer="0.15"/>
  <ns0:pageSetup paperSize="9" orientation="landscape" fitToWidth="1" fitToHeight="0"/>
  <ns0:headerFooter>
    <ns0:oddFooter>&amp;LNF-WP-221014-01&amp;C&amp;A&amp;RSeite &amp;P / &amp;N</ns0:oddFooter>
  </ns0:headerFooter>
</ns0:worksheet>
</file>

<file path=xl/worksheets/sheet5.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47.779998779296875" hidden="0" customWidth="1"/>
    <ns0:col min="2" max="2" width="18.329999923706055" hidden="0" customWidth="1"/>
    <ns0:col min="3" max="3" width="41.66999816894531" hidden="0" customWidth="1"/>
  </ns0:cols>
  <ns0:sheetData>
    <ns0:row r="1" ht="27" customHeight="1">
      <ns0:c r="A1" s="3" t="str">
        <ns0:v>4. Gesonderter Vorgang vom 2. Mai 2024</ns0:v>
      </ns0:c>
      <ns0:c r="B1" s="2"/>
      <ns0:c r="C1" s="2"/>
    </ns0:row>
    <ns0:row r="2" ht="26" customHeight="1">
      <ns0:c r="A2" s="4" t="str">
        <ns0:v>Jutta Kröger | Abgrenzung zum April-Abgleich | Quelle: K7 Blatt 6 | Zusammenstellung 11.06.2026</ns0:v>
      </ns0:c>
      <ns0:c r="B2" s="4"/>
      <ns0:c r="C2" s="4"/>
    </ns0:row>
    <ns0:row r="3" ht="19" customHeight="1">
      <ns0:c r="A3" s="2"/>
      <ns0:c r="B3" s="2"/>
      <ns0:c r="C3" s="2"/>
    </ns0:row>
    <ns0:row r="4" ht="28" customHeight="1">
      <ns0:c r="A4" s="8" t="str">
        <ns0:v>Position</ns0:v>
      </ns0:c>
      <ns0:c r="B4" s="8" t="str">
        <ns0:v>Betrag EUR</ns0:v>
      </ns0:c>
      <ns0:c r="C4" s="8" t="str">
        <ns0:v>Beleg / zeitliche Einordnung</ns0:v>
      </ns0:c>
    </ns0:row>
    <ns0:row r="5" ht="30" customHeight="1">
      <ns0:c r="A5" s="24" t="str">
        <ns0:v>Rückforderung Nordhafen, N42-R240502</ns0:v>
      </ns0:c>
      <ns0:c r="B5" s="26" t="n">
        <ns0:v>598600</ns0:v>
      </ns0:c>
      <ns0:c r="C5" s="24" t="str">
        <ns0:v>02.05.2024, 09:20 Uhr; Grothe 10:05 Uhr</ns0:v>
      </ns0:c>
    </ns0:row>
    <ns0:row r="6" ht="30" customHeight="1">
      <ns0:c r="A6" s="28" t="str">
        <ns0:v>April-Schlusssaldo als Ausgangsbetrag</ns0:v>
      </ns0:c>
      <ns0:c r="B6" s="30" t="n">
        <ns0:f>April!E17</ns0:f>
        <ns0:v>383000</ns0:v>
      </ns0:c>
      <ns0:c r="C6" s="28" t="str">
        <ns0:v>K4 Blatt 18; kein neuer Mai-Kontoauszug</ns0:v>
      </ns0:c>
    </ns0:row>
    <ns0:row r="7" ht="24" customHeight="1">
      <ns0:c r="A7" s="40" t="str">
        <ns0:v>Rückforderung abzüglich Ausgangsbetrag</ns0:v>
      </ns0:c>
      <ns0:c r="B7" s="42" t="n">
        <ns0:f>B5-B6</ns0:f>
        <ns0:v>215600</ns0:v>
      </ns0:c>
      <ns0:c r="C7" s="40" t="str">
        <ns0:v>Nur dieser spätere Vergleich</ns0:v>
      </ns0:c>
    </ns0:row>
    <ns0:row r="8" ht="19" customHeight="1">
      <ns0:c r="A8" s="2"/>
      <ns0:c r="B8" s="2"/>
      <ns0:c r="C8" s="2"/>
    </ns0:row>
    <ns0:row r="9" ht="40" customHeight="1">
      <ns0:c r="A9" s="4" t="str">
        <ns0:v>09:20 Uhr: Nordhafen beanstandet Risse bei Temperaturwechselprüfungen an den Losen N42-2402 und N42-2403 und verlangt die Rücknahme der April-Lieferung sowie Rückzahlung von 598.600,00 EUR am selben Tag.</ns0:v>
      </ns0:c>
      <ns0:c r="B9" s="4"/>
      <ns0:c r="C9" s="4"/>
    </ns0:row>
    <ns0:row r="10" ht="19" customHeight="1">
      <ns0:c r="A10" s="2"/>
      <ns0:c r="B10" s="2"/>
      <ns0:c r="C10" s="2"/>
    </ns0:row>
    <ns0:row r="11" ht="40" customHeight="1">
      <ns0:c r="A11" s="4" t="str">
        <ns0:v>10:05 Uhr: Grothe bestätigt Rücknahme und Rückzahlung ohne Aufrechnung. Damit ist noch keine tatsächliche Zahlung gebucht. Der Betrag entspricht dem im April eingegangenen Kundenbetrag, nicht einer weiteren April-Auszahlung.</ns0:v>
      </ns0:c>
      <ns0:c r="B11" s="4"/>
      <ns0:c r="C11" s="4"/>
    </ns0:row>
    <ns0:row r="12" ht="19" customHeight="1">
      <ns0:c r="A12" s="2"/>
      <ns0:c r="B12" s="2"/>
      <ns0:c r="C12" s="2"/>
    </ns0:row>
    <ns0:row r="13" ht="40" customHeight="1">
      <ns0:c r="A13" s="4" t="str">
        <ns0:v>11:10 Uhr: Kröger führt den Vorgang gesondert und berichtet, dass heute kein weiterer Eingang vorhanden ist. Ihre Nachricht knüpft an den April-Endbestand an. Sie ersetzt keinen Kontoauszug mit sämtlichen Mai-Bewegungen.</ns0:v>
      </ns0:c>
      <ns0:c r="B13" s="4"/>
      <ns0:c r="C13" s="4"/>
    </ns0:row>
    <ns0:row r="14" ht="19" customHeight="1">
      <ns0:c r="A14" s="2"/>
      <ns0:c r="B14" s="2"/>
      <ns0:c r="C14" s="2"/>
    </ns0:row>
    <ns0:row r="15" ht="36" customHeight="1">
      <ns0:c r="A15" s="4" t="str">
        <ns0:v>15:40 Uhr: Grothe teilt mit, dass der Insolvenzantrag heute gestellt wurde und keine neue Finanzierung vorliegt. Diese Information ist zeitlich vom März- und April-Zahlungsstand zu trennen.</ns0:v>
      </ns0:c>
      <ns0:c r="B15" s="4"/>
      <ns0:c r="C15" s="4"/>
    </ns0:row>
    <ns0:row r="16" ht="19" customHeight="1">
      <ns0:c r="A16" s="2"/>
      <ns0:c r="B16" s="2"/>
      <ns0:c r="C16" s="2"/>
    </ns0:row>
    <ns0:row r="17" ht="40" customHeight="1">
      <ns0:c r="A17" s="4" t="str">
        <ns0:v>Die rechnerischen 215.600,00 EUR betreffen ausschließlich den Vergleich der neuen Rückforderung mit dem genannten Ausgangsbetrag. Sie sind weder ein April-Fehlbetrag noch eine vollständige Summe aller am 2. Mai offenen Verpflichtungen.</ns0:v>
      </ns0:c>
      <ns0:c r="B17" s="4"/>
      <ns0:c r="C17" s="4"/>
    </ns0:row>
    <ns0:row r="18" ht="19" customHeight="1">
      <ns0:c r="A18" s="2"/>
      <ns0:c r="B18" s="2"/>
      <ns0:c r="C18" s="2"/>
    </ns0:row>
    <ns0:row r="19" ht="36" customHeight="1">
      <ns0:c r="A19" s="4" t="str">
        <ns0:v>Bearbeitung: Jutta Kröger. Der Arbeitsmappe sind keine neuen Bankbuchungen nach dem 30.04.2024 zugrunde gelegt. Die zugrunde liegende Korrespondenz bleibt als gesonderter Beleg erhalten.</ns0:v>
      </ns0:c>
      <ns0:c r="B19" s="4"/>
      <ns0:c r="C19" s="4"/>
    </ns0:row>
    <ns0:row r="20" ht="19" customHeight="1">
      <ns0:c r="A20" s="2"/>
      <ns0:c r="B20" s="2"/>
      <ns0:c r="C20" s="2"/>
    </ns0:row>
    <ns0:row r="21" ht="19" customHeight="1">
      <ns0:c r="A21" s="2"/>
      <ns0:c r="B21" s="2"/>
      <ns0:c r="C21" s="2"/>
    </ns0:row>
    <ns0:row r="22" ht="19" customHeight="1">
      <ns0:c r="A22" s="2"/>
      <ns0:c r="B22" s="2"/>
      <ns0:c r="C22" s="2"/>
    </ns0:row>
    <ns0:row r="23" ht="19" customHeight="1">
      <ns0:c r="A23" s="2"/>
      <ns0:c r="B23" s="2"/>
      <ns0:c r="C23" s="2"/>
    </ns0:row>
  </ns0:sheetData>
  <ns0:mergeCells>
    <ns0:mergeCell ref="A2:C2"/>
    <ns0:mergeCell ref="A9:C9"/>
    <ns0:mergeCell ref="A11:C11"/>
    <ns0:mergeCell ref="A13:C13"/>
    <ns0:mergeCell ref="A15:C15"/>
    <ns0:mergeCell ref="A17:C17"/>
    <ns0:mergeCell ref="A19:C19"/>
  </ns0:mergeCells>
  <ns0:pageMargins left="0.3" right="0.3" top="0.35" bottom="0.4" header="0.15" footer="0.15"/>
  <ns0:pageSetup paperSize="9" orientation="landscape" fitToWidth="1" fitToHeight="0"/>
  <ns0:headerFooter>
    <ns0:oddFooter>&amp;LNF-WP-221014-01&amp;C&amp;A&amp;RSeite &amp;P / &amp;N</ns0:oddFooter>
  </ns0:headerFooter>
</ns0:worksheet>
</file>