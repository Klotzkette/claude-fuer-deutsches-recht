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d17baedce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ichtage" sheetId="1" r:id="R23d903c8b58546a7"/>
    <x:sheet xmlns:r="http://schemas.openxmlformats.org/officeDocument/2006/relationships" name="Belege" sheetId="2" r:id="Rae064f662dd7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-407]#,##0.00_);[Red](#,##0.00);0.00_)"/>
    <x:numFmt numFmtId="201" formatCode="dd.mm.yyyy"/>
  </x:numFmts>
  <x:fonts count="7">
    <x:font>
      <x:sz val="11"/>
      <x:name val="Carlito"/>
    </x:font>
    <x:font>
      <x:sz val="11"/>
      <x:color rgb="FF202020"/>
      <x:name val="Times New Roman"/>
    </x:font>
    <x:font>
      <x:b/>
      <x:sz val="15"/>
      <x:color rgb="FF202020"/>
      <x:name val="Times New Roman"/>
    </x:font>
    <x:font>
      <x:i/>
      <x:sz val="11"/>
      <x:color rgb="FF202020"/>
      <x:name val="Times New Roman"/>
    </x:font>
    <x:font>
      <x:b/>
      <x:sz val="11"/>
      <x:color rgb="FFFFFFFF"/>
      <x:name val="Times New Roman"/>
    </x:font>
    <x:font>
      <x:sz val="11"/>
      <x:color rgb="FF174A9B"/>
      <x:name val="Times New Roman"/>
    </x:font>
    <x:font>
      <x:sz val="11"/>
      <x:color rgb="FF17613C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293A4A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9B2424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ed9494cd449d3" /><Relationship Type="http://schemas.openxmlformats.org/officeDocument/2006/relationships/theme" Target="/xl/theme/theme1.xml" Id="R72b31f1e6ff14c24" /><Relationship Type="http://schemas.openxmlformats.org/officeDocument/2006/relationships/sharedStrings" Target="/xl/sharedStrings.xml" Id="Rd11ba99b264d4348" /><Relationship Type="http://schemas.openxmlformats.org/officeDocument/2006/relationships/worksheet" Target="/xl/worksheets/sheet1.xml" Id="R23d903c8b58546a7" /><Relationship Type="http://schemas.openxmlformats.org/officeDocument/2006/relationships/worksheet" Target="/xl/worksheets/sheet2.xml" Id="Rae064f662dd74e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43.88999938964844" hidden="0" customWidth="1"/>
    <ns0:col min="2" max="2" width="17.780000686645508" hidden="0" customWidth="1"/>
    <ns0:col min="3" max="3" width="17.780000686645508" hidden="0" customWidth="1"/>
    <ns0:col min="4" max="4" width="34.439998626708984" hidden="0" customWidth="1"/>
  </ns0:cols>
  <ns0:sheetData>
    <ns0:row r="1" ht="17" customHeight="1">
      <ns0:c r="A1" s="2"/>
      <ns0:c r="B1" s="2"/>
      <ns0:c r="C1" s="2"/>
      <ns0:c r="D1" s="2"/>
    </ns0:row>
    <ns0:row r="2" ht="30" customHeight="1">
      <ns0:c r="A2" s="3" t="str">
        <ns0:v>Stichtage und fehlende Verpflichtungen</ns0:v>
      </ns0:c>
      <ns0:c r="B2" s="2"/>
      <ns0:c r="C2" s="2"/>
      <ns0:c r="D2" s="2"/>
    </ns0:row>
    <ns0:row r="3" ht="17" customHeight="1">
      <ns0:c r="A3" s="5" t="str">
        <ns0:v>Jutta Kröger | Zusammenstellung 24.09.2026 | EUR | Ausgewählte Belege, kein vollständiger Liquiditätsstatus</ns0:v>
      </ns0:c>
      <ns0:c r="B3" s="4"/>
      <ns0:c r="C3" s="4"/>
      <ns0:c r="D3" s="4"/>
    </ns0:row>
    <ns0:row r="4" ht="17" customHeight="1">
      <ns0:c r="A4" s="2"/>
      <ns0:c r="B4" s="2"/>
      <ns0:c r="C4" s="2"/>
      <ns0:c r="D4" s="2"/>
    </ns0:row>
    <ns0:row r="5" ht="28" customHeight="1">
      <ns0:c r="A5" s="8" t="str">
        <ns0:v>Position</ns0:v>
      </ns0:c>
      <ns0:c r="B5" s="8" t="str">
        <ns0:v>15.04.2024</ns0:v>
      </ns0:c>
      <ns0:c r="C5" s="8" t="str">
        <ns0:v>02.05.2024</ns0:v>
      </ns0:c>
      <ns0:c r="D5" s="8" t="str">
        <ns0:v>Bedeutung</ns0:v>
      </ns0:c>
    </ns0:row>
    <ns0:row r="6" ht="24" customHeight="1">
      <ns0:c r="A6" s="4" t="str">
        <ns0:v>Bankguthaben</ns0:v>
      </ns0:c>
      <ns0:c r="B6" s="9" t="n">
        <ns0:f>Belege!B22</ns0:f>
        <ns0:v>520900</ns0:v>
      </ns0:c>
      <ns0:c r="C6" s="9" t="n">
        <ns0:f>Belege!B23</ns0:f>
        <ns0:v>383000</ns0:v>
      </ns0:c>
      <ns0:c r="D6" s="4" t="str">
        <ns0:v>April nach Schlusszahlung</ns0:v>
      </ns0:c>
    </ns0:row>
    <ns0:row r="7" ht="24" customHeight="1">
      <ns0:c r="A7" s="4" t="str">
        <ns0:v>Zwölf Lieferantenrechnungen</ns0:v>
      </ns0:c>
      <ns0:c r="B7" s="9" t="n">
        <ns0:f>SUM(Belege!D6:D17)</ns0:f>
        <ns0:v>478380</ns0:v>
      </ns0:c>
      <ns0:c r="C7" s="9" t="n">
        <ns0:f>SUM(Belege!D6:D17)</ns0:f>
        <ns0:v>478380</ns0:v>
      </ns0:c>
      <ns0:c r="D7" s="4" t="str">
        <ns0:v>Auswahl laut K7; unverändert offen</ns0:v>
      </ns0:c>
    </ns0:row>
    <ns0:row r="8" ht="24" customHeight="1">
      <ns0:c r="A8" s="4" t="str">
        <ns0:v>Neue Erstattung N42</ns0:v>
      </ns0:c>
      <ns0:c r="B8" s="9" t="n">
        <ns0:f>Belege!B24</ns0:f>
        <ns0:v>0</ns0:v>
      </ns0:c>
      <ns0:c r="C8" s="9" t="n">
        <ns0:f>Belege!B25</ns0:f>
        <ns0:v>598600</ns0:v>
      </ns0:c>
      <ns0:c r="D8" s="4" t="str">
        <ns0:v>Erst am 2. Mai vereinbart</ns0:v>
      </ns0:c>
    </ns0:row>
    <ns0:row r="9" ht="24" customHeight="1">
      <ns0:c r="A9" s="4" t="str">
        <ns0:v>Erfasste Verpflichtungen</ns0:v>
      </ns0:c>
      <ns0:c r="B9" s="9" t="n">
        <ns0:f>SUM(B7:B8)</ns0:f>
        <ns0:v>478380</ns0:v>
      </ns0:c>
      <ns0:c r="C9" s="9" t="n">
        <ns0:f>SUM(C7:C8)</ns0:f>
        <ns0:v>1076980</ns0:v>
      </ns0:c>
      <ns0:c r="D9" s="4" t="str">
        <ns0:v>Summe der beiden vorigen Zeilen</ns0:v>
      </ns0:c>
    </ns0:row>
    <ns0:row r="10" ht="24" customHeight="1">
      <ns0:c r="A10" s="4" t="str">
        <ns0:v>Differenz aus ausgewählten Belegen</ns0:v>
      </ns0:c>
      <ns0:c r="B10" s="9" t="n">
        <ns0:f>B6-B9</ns0:f>
        <ns0:v>42520</ns0:v>
      </ns0:c>
      <ns0:c r="C10" s="9" t="n">
        <ns0:f>C6-C9</ns0:f>
        <ns0:v>-693980</ns0:v>
      </ns0:c>
      <ns0:c r="D10" s="4" t="str">
        <ns0:v>Keine abschließende Zahlungsfähigkeitsprüfung</ns0:v>
      </ns0:c>
    </ns0:row>
    <ns0:row r="11" ht="24" customHeight="1">
      <ns0:c r="A11" s="4" t="str">
        <ns0:v>Zusätzliche fällige Verpflichtungen</ns0:v>
      </ns0:c>
      <ns0:c r="B11" s="11"/>
      <ns0:c r="C11" s="11"/>
      <ns0:c r="D11" s="4" t="str">
        <ns0:v>Eingabe offen; nicht durch null ersetzen</ns0:v>
      </ns0:c>
    </ns0:row>
    <ns0:row r="12" ht="24" customHeight="1">
      <ns0:c r="A12" s="4" t="str">
        <ns0:v>Stand nach zusätzlicher Eingabe</ns0:v>
      </ns0:c>
      <ns0:c r="B12" s="9" t="str">
        <ns0:f>IF(ISNUMBER(B11),B10-B11,"offen")</ns0:f>
        <ns0:v>offen</ns0:v>
      </ns0:c>
      <ns0:c r="C12" s="9" t="str">
        <ns0:f>IF(ISNUMBER(C11),C10-C11,"offen")</ns0:f>
        <ns0:v>offen</ns0:v>
      </ns0:c>
      <ns0:c r="D12" s="4" t="str">
        <ns0:v>Berechnung erst nach belegter Ergänzung</ns0:v>
      </ns0:c>
    </ns0:row>
    <ns0:row r="13" ht="24" customHeight="1">
      <ns0:c r="A13" s="4" t="str">
        <ns0:v>Vollständigkeit der Eingaben</ns0:v>
      </ns0:c>
      <ns0:c r="B13" s="4" t="str">
        <ns0:f>IF(ISNUMBER(B11),"Eingabe ergänzt; Belegumfang prüfen","Belege fehlen")</ns0:f>
        <ns0:v>Belege fehlen</ns0:v>
      </ns0:c>
      <ns0:c r="C13" s="4" t="str">
        <ns0:f>IF(ISNUMBER(C11),"Eingabe ergänzt; Belegumfang prüfen","Belege fehlen")</ns0:f>
        <ns0:v>Belege fehlen</ns0:v>
      </ns0:c>
      <ns0:c r="D13" s="4" t="str">
        <ns0:v>Lohn-, Steuer- und Vertragslisten fehlen</ns0:v>
      </ns0:c>
    </ns0:row>
    <ns0:row r="14" ht="17" customHeight="1">
      <ns0:c r="A14" s="2"/>
      <ns0:c r="B14" s="2"/>
      <ns0:c r="C14" s="2"/>
      <ns0:c r="D14" s="2"/>
    </ns0:row>
    <ns0:row r="15" ht="17" customHeight="1">
      <ns0:c r="A15" s="2"/>
      <ns0:c r="B15" s="2"/>
      <ns0:c r="C15" s="2"/>
      <ns0:c r="D15" s="2"/>
    </ns0:row>
    <ns0:row r="16" ht="17" customHeight="1">
      <ns0:c r="A16" s="5" t="str">
        <ns0:v>Gelb: ergänzbare Eingabe. Erst eintragen, wenn Betrag und Stichtag belegt sind. Null ist eine Aussage.</ns0:v>
      </ns0:c>
      <ns0:c r="B16" s="4"/>
      <ns0:c r="C16" s="4"/>
      <ns0:c r="D16" s="4"/>
    </ns0:row>
    <ns0:row r="17" ht="17" customHeight="1">
      <ns0:c r="A17" s="2"/>
      <ns0:c r="B17" s="2"/>
      <ns0:c r="C17" s="2"/>
      <ns0:c r="D17" s="2"/>
    </ns0:row>
    <ns0:row r="18" ht="17" customHeight="1">
      <ns0:c r="A18" s="5" t="str">
        <ns0:v>Die April-Differenz betrifft nur die ausgewählten zwölf Rechnungen. Guthaben ist kein Vollständigkeitsnachweis.</ns0:v>
      </ns0:c>
      <ns0:c r="B18" s="4"/>
      <ns0:c r="C18" s="4"/>
      <ns0:c r="D18" s="4"/>
    </ns0:row>
    <ns0:row r="19" ht="17" customHeight="1">
      <ns0:c r="A19" s="2"/>
      <ns0:c r="B19" s="2"/>
      <ns0:c r="C19" s="2"/>
      <ns0:c r="D19" s="2"/>
    </ns0:row>
    <ns0:row r="20" ht="17" customHeight="1">
      <ns0:c r="A20" s="5" t="str">
        <ns0:v>Die Erstattung von 598.600 EUR entstand am 02.05.2024. Nicht in frühere Stichtage zurückrechnen.</ns0:v>
      </ns0:c>
      <ns0:c r="B20" s="4"/>
      <ns0:c r="C20" s="4"/>
      <ns0:c r="D20" s="4"/>
    </ns0:row>
    <ns0:row r="21" ht="17" customHeight="1">
      <ns0:c r="A21" s="2"/>
      <ns0:c r="B21" s="2"/>
      <ns0:c r="C21" s="2"/>
      <ns0:c r="D21" s="2"/>
    </ns0:row>
    <ns0:row r="22" ht="17" customHeight="1">
      <ns0:c r="A22" s="5" t="str">
        <ns0:v>Die April-Schlusszahlung ist bereits im Bankguthaben enthalten. Sie wird hier nicht nochmals abgezogen.</ns0:v>
      </ns0:c>
      <ns0:c r="B22" s="4"/>
      <ns0:c r="C22" s="4"/>
      <ns0:c r="D22" s="4"/>
    </ns0:row>
    <ns0:row r="23" ht="17" customHeight="1">
      <ns0:c r="A23" s="2"/>
      <ns0:c r="B23" s="2"/>
      <ns0:c r="C23" s="2"/>
      <ns0:c r="D23" s="2"/>
    </ns0:row>
    <ns0:row r="24" ht="17" customHeight="1">
      <ns0:c r="A24" s="5" t="str">
        <ns0:v>Quellen und Originalbeträge stehen im Blatt Belege. Frühere Excel-Dateien bleiben unverändert erhalten.</ns0:v>
      </ns0:c>
      <ns0:c r="B24" s="4"/>
      <ns0:c r="C24" s="4"/>
      <ns0:c r="D24" s="4"/>
    </ns0:row>
    <ns0:row r="25" ht="17" customHeight="1">
      <ns0:c r="A25" s="2"/>
      <ns0:c r="B25" s="2"/>
      <ns0:c r="C25" s="2"/>
      <ns0:c r="D25" s="2"/>
    </ns0:row>
  </ns0:sheetData>
  <ns0:mergeCells>
    <ns0:mergeCell ref="A3:D3"/>
    <ns0:mergeCell ref="A16:D16"/>
    <ns0:mergeCell ref="A18:D18"/>
    <ns0:mergeCell ref="A20:D20"/>
    <ns0:mergeCell ref="A22:D22"/>
    <ns0:mergeCell ref="A24:D24"/>
  </ns0:mergeCells>
  <ns0:conditionalFormatting sqref="B10:C10">
    <ns0:cfRule type="cellIs" dxfId="0" priority="1" operator="lessThan">
      <ns0:formula>0</ns0:formula>
    </ns0:cfRule>
  </ns0:conditionalFormatting>
  <ns0:pageMargins left="0.3" right="0.3" top="0.35" bottom="0.4" header="0.15" footer="0.15"/>
  <ns0:pageSetup paperSize="9" orientation="landscape" fitToWidth="1" fitToHeight="0"/>
  <ns0:headerFooter>
    <ns0:oddFooter>&amp;LNF-WP-221014-01&amp;C&amp;A&amp;RSeite &amp;P / &amp;N</ns0:oddFooter>
  </ns0:headerFooter>
</ns0:worksheet>
</file>

<file path=xl/worksheets/sheet2.xml><?xml version="1.0" encoding="utf-8"?>
<ns0:worksheet xmlns:ns0="http://schemas.openxmlformats.org/spreadsheetml/2006/main">
  <ns0:sheetPr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6.110000610351562" hidden="0" customWidth="1"/>
    <ns0:col min="2" max="2" width="31.110000610351562" hidden="0" customWidth="1"/>
    <ns0:col min="3" max="3" width="13.329999923706055" hidden="0" customWidth="1"/>
    <ns0:col min="4" max="4" width="15.5600004196167" hidden="0" customWidth="1"/>
    <ns0:col min="5" max="5" width="27.219999313354492" hidden="0" customWidth="1"/>
  </ns0:cols>
  <ns0:sheetData>
    <ns0:row r="1" ht="17" customHeight="1">
      <ns0:c r="A1" s="2"/>
      <ns0:c r="B1" s="2"/>
      <ns0:c r="C1" s="2"/>
      <ns0:c r="D1" s="2"/>
      <ns0:c r="E1" s="2"/>
    </ns0:row>
    <ns0:row r="2" ht="30" customHeight="1">
      <ns0:c r="A2" s="3" t="str">
        <ns0:v>Belege für die Stichtagsgegenüberstellung</ns0:v>
      </ns0:c>
      <ns0:c r="B2" s="2"/>
      <ns0:c r="C2" s="2"/>
      <ns0:c r="D2" s="2"/>
      <ns0:c r="E2" s="2"/>
    </ns0:row>
    <ns0:row r="3" ht="17" customHeight="1">
      <ns0:c r="A3" s="5" t="str">
        <ns0:v>Quelle: K7 Blätter 2 und 3; K4 Blatt 18; K7 Blatt 6; Ergänzungen 51, 54 und 55.</ns0:v>
      </ns0:c>
      <ns0:c r="B3" s="4"/>
      <ns0:c r="C3" s="4"/>
      <ns0:c r="D3" s="4"/>
      <ns0:c r="E3" s="4"/>
    </ns0:row>
    <ns0:row r="4" ht="17" customHeight="1">
      <ns0:c r="A4" s="2"/>
      <ns0:c r="B4" s="2"/>
      <ns0:c r="C4" s="2"/>
      <ns0:c r="D4" s="2"/>
      <ns0:c r="E4" s="2"/>
    </ns0:row>
    <ns0:row r="5" ht="28" customHeight="1">
      <ns0:c r="A5" s="8" t="str">
        <ns0:v>Gläubiger</ns0:v>
      </ns0:c>
      <ns0:c r="B5" s="8" t="str">
        <ns0:v>Rechnung</ns0:v>
      </ns0:c>
      <ns0:c r="C5" s="8" t="str">
        <ns0:v>Fälligkeit</ns0:v>
      </ns0:c>
      <ns0:c r="D5" s="8" t="str">
        <ns0:v>Offen EUR</ns0:v>
      </ns0:c>
      <ns0:c r="E5" s="8" t="str">
        <ns0:v>Quelle</ns0:v>
      </ns0:c>
    </ns0:row>
    <ns0:row r="6" ht="17" customHeight="1">
      <ns0:c r="A6" s="4" t="str">
        <ns0:v>70011 Nordkai</ns0:v>
      </ns0:c>
      <ns0:c r="B6" s="4" t="str">
        <ns0:v>NA-240212-17</ns0:v>
      </ns0:c>
      <ns0:c r="C6" s="16" t="n">
        <ns0:v>45363</ns0:v>
      </ns0:c>
      <ns0:c r="D6" s="15" t="n">
        <ns0:v>42840</ns0:v>
      </ns0:c>
      <ns0:c r="E6" s="4" t="str">
        <ns0:v>K7 Blatt 2</ns0:v>
      </ns0:c>
    </ns0:row>
    <ns0:row r="7" ht="17" customHeight="1">
      <ns0:c r="A7" s="4" t="str">
        <ns0:v>70012 Dichtungswerke</ns0:v>
      </ns0:c>
      <ns0:c r="B7" s="4" t="str">
        <ns0:v>HD-240223-09</ns0:v>
      </ns0:c>
      <ns0:c r="C7" s="16" t="n">
        <ns0:v>45373</ns0:v>
      </ns0:c>
      <ns0:c r="D7" s="15" t="n">
        <ns0:v>32130</ns0:v>
      </ns0:c>
      <ns0:c r="E7" s="4" t="str">
        <ns0:v>K7 Blatt 2</ns0:v>
      </ns0:c>
    </ns0:row>
    <ns0:row r="8" ht="17" customHeight="1">
      <ns0:c r="A8" s="4" t="str">
        <ns0:v>70013 Unterweser</ns0:v>
      </ns0:c>
      <ns0:c r="B8" s="4" t="str">
        <ns0:v>UM-240307-22</ns0:v>
      </ns0:c>
      <ns0:c r="C8" s="16" t="n">
        <ns0:v>45386</ns0:v>
      </ns0:c>
      <ns0:c r="D8" s="15" t="n">
        <ns0:v>21420</ns0:v>
      </ns0:c>
      <ns0:c r="E8" s="4" t="str">
        <ns0:v>K7 Blatt 2</ns0:v>
      </ns0:c>
    </ns0:row>
    <ns0:row r="9" ht="17" customHeight="1">
      <ns0:c r="A9" s="4" t="str">
        <ns0:v>70031 Hafenrohling</ns0:v>
      </ns0:c>
      <ns0:c r="B9" s="4" t="str">
        <ns0:v>HM-240311-08</ns0:v>
      </ns0:c>
      <ns0:c r="C9" s="16" t="n">
        <ns0:v>45392</ns0:v>
      </ns0:c>
      <ns0:c r="D9" s="15" t="n">
        <ns0:v>178500</ns0:v>
      </ns0:c>
      <ns0:c r="E9" s="4" t="str">
        <ns0:v>K7 Blatt 2</ns0:v>
      </ns0:c>
    </ns0:row>
    <ns0:row r="10" ht="17" customHeight="1">
      <ns0:c r="A10" s="4" t="str">
        <ns0:v>70032 Fockenhafen</ns0:v>
      </ns0:c>
      <ns0:c r="B10" s="4" t="str">
        <ns0:v>FL-240312-04</ns0:v>
      </ns0:c>
      <ns0:c r="C10" s="16" t="n">
        <ns0:v>45393</ns0:v>
      </ns0:c>
      <ns0:c r="D10" s="15" t="n">
        <ns0:v>95200</ns0:v>
      </ns0:c>
      <ns0:c r="E10" s="4" t="str">
        <ns0:v>K7 Blatt 2</ns0:v>
      </ns0:c>
    </ns0:row>
    <ns0:row r="11" ht="17" customHeight="1">
      <ns0:c r="A11" s="4" t="str">
        <ns0:v>70033 Förde</ns0:v>
      </ns0:c>
      <ns0:c r="B11" s="4" t="str">
        <ns0:v>FS-240315-16</ns0:v>
      </ns0:c>
      <ns0:c r="C11" s="16" t="n">
        <ns0:v>45397</ns0:v>
      </ns0:c>
      <ns0:c r="D11" s="15" t="n">
        <ns0:v>83300</ns0:v>
      </ns0:c>
      <ns0:c r="E11" s="4" t="str">
        <ns0:v>K7 Blatt 2</ns0:v>
      </ns0:c>
    </ns0:row>
    <ns0:row r="12" ht="17" customHeight="1">
      <ns0:c r="A12" s="4" t="str">
        <ns0:v>70021 Dockmetall</ns0:v>
      </ns0:c>
      <ns0:c r="B12" s="4" t="str">
        <ns0:v>DZ-240219-04</ns0:v>
      </ns0:c>
      <ns0:c r="C12" s="16" t="n">
        <ns0:v>45371</ns0:v>
      </ns0:c>
      <ns0:c r="D12" s="15" t="n">
        <ns0:v>7140</ns0:v>
      </ns0:c>
      <ns0:c r="E12" s="4" t="str">
        <ns0:v>K7 Blatt 3</ns0:v>
      </ns0:c>
    </ns0:row>
    <ns0:row r="13" ht="17" customHeight="1">
      <ns0:c r="A13" s="4" t="str">
        <ns0:v>70022 Strompfad</ns0:v>
      </ns0:c>
      <ns0:c r="B13" s="4" t="str">
        <ns0:v>SI-240225-11</ns0:v>
      </ns0:c>
      <ns0:c r="C13" s="16" t="n">
        <ns0:v>45376</ns0:v>
      </ns0:c>
      <ns0:c r="D13" s="15" t="n">
        <ns0:v>4760</ns0:v>
      </ns0:c>
      <ns0:c r="E13" s="4" t="str">
        <ns0:v>K7 Blatt 3</ns0:v>
      </ns0:c>
    </ns0:row>
    <ns0:row r="14" ht="17" customHeight="1">
      <ns0:c r="A14" s="4" t="str">
        <ns0:v>70023 Fräswerk</ns0:v>
      </ns0:c>
      <ns0:c r="B14" s="4" t="str">
        <ns0:v>FW-240305-18</ns0:v>
      </ns0:c>
      <ns0:c r="C14" s="16" t="n">
        <ns0:v>45384</ns0:v>
      </ns0:c>
      <ns0:c r="D14" s="15" t="n">
        <ns0:v>5950</ns0:v>
      </ns0:c>
      <ns0:c r="E14" s="4" t="str">
        <ns0:v>K7 Blatt 3</ns0:v>
      </ns0:c>
    </ns0:row>
    <ns0:row r="15" ht="17" customHeight="1">
      <ns0:c r="A15" s="4" t="str">
        <ns0:v>70024 Hafenlinie</ns0:v>
      </ns0:c>
      <ns0:c r="B15" s="4" t="str">
        <ns0:v>HT-240308-31</ns0:v>
      </ns0:c>
      <ns0:c r="C15" s="16" t="n">
        <ns0:v>45387</ns0:v>
      </ns0:c>
      <ns0:c r="D15" s="15" t="n">
        <ns0:v>3570</ns0:v>
      </ns0:c>
      <ns0:c r="E15" s="4" t="str">
        <ns0:v>K7 Blatt 3</ns0:v>
      </ns0:c>
    </ns0:row>
    <ns0:row r="16" ht="17" customHeight="1">
      <ns0:c r="A16" s="4" t="str">
        <ns0:v>70025 Küstengas</ns0:v>
      </ns0:c>
      <ns0:c r="B16" s="4" t="str">
        <ns0:v>KT-240311-05</ns0:v>
      </ns0:c>
      <ns0:c r="C16" s="16" t="n">
        <ns0:v>45390</ns0:v>
      </ns0:c>
      <ns0:c r="D16" s="15" t="n">
        <ns0:v>2380</ns0:v>
      </ns0:c>
      <ns0:c r="E16" s="4" t="str">
        <ns0:v>K7 Blatt 3</ns0:v>
      </ns0:c>
    </ns0:row>
    <ns0:row r="17" ht="17" customHeight="1">
      <ns0:c r="A17" s="4" t="str">
        <ns0:v>70026 Maßpunkt</ns0:v>
      </ns0:c>
      <ns0:c r="B17" s="4" t="str">
        <ns0:v>MK-240315-08</ns0:v>
      </ns0:c>
      <ns0:c r="C17" s="16" t="n">
        <ns0:v>45394</ns0:v>
      </ns0:c>
      <ns0:c r="D17" s="15" t="n">
        <ns0:v>1190</ns0:v>
      </ns0:c>
      <ns0:c r="E17" s="4" t="str">
        <ns0:v>K7 Blatt 3</ns0:v>
      </ns0:c>
    </ns0:row>
    <ns0:row r="18" ht="17" customHeight="1">
      <ns0:c r="A18" s="2"/>
      <ns0:c r="B18" s="2"/>
      <ns0:c r="C18" s="17"/>
      <ns0:c r="D18" s="2"/>
      <ns0:c r="E18" s="2"/>
    </ns0:row>
    <ns0:row r="19" ht="17" customHeight="1">
      <ns0:c r="A19" s="2"/>
      <ns0:c r="B19" s="2"/>
      <ns0:c r="C19" s="17"/>
      <ns0:c r="D19" s="2"/>
      <ns0:c r="E19" s="2"/>
    </ns0:row>
    <ns0:row r="20" ht="28" customHeight="1">
      <ns0:c r="A20" s="8" t="str">
        <ns0:v>Weitere Ausgangsdaten</ns0:v>
      </ns0:c>
      <ns0:c r="B20" s="8" t="str">
        <ns0:v>EUR</ns0:v>
      </ns0:c>
      <ns0:c r="C20" s="18" t="str">
        <ns0:v>Stichtag</ns0:v>
      </ns0:c>
      <ns0:c r="D20" s="8" t="str">
        <ns0:v>Beleg</ns0:v>
      </ns0:c>
      <ns0:c r="E20" s="8" t="str">
        <ns0:v>Einordnung</ns0:v>
      </ns0:c>
    </ns0:row>
    <ns0:row r="21" ht="17" customHeight="1">
      <ns0:c r="A21" s="2"/>
      <ns0:c r="B21" s="2"/>
      <ns0:c r="C21" s="17"/>
      <ns0:c r="D21" s="2"/>
      <ns0:c r="E21" s="2"/>
    </ns0:row>
    <ns0:row r="22" ht="20" customHeight="1">
      <ns0:c r="A22" s="4" t="str">
        <ns0:v>Bank nach Schlusszahlung</ns0:v>
      </ns0:c>
      <ns0:c r="B22" s="9" t="n">
        <ns0:v>520900</ns0:v>
      </ns0:c>
      <ns0:c r="C22" s="16" t="n">
        <ns0:v>45397</ns0:v>
      </ns0:c>
      <ns0:c r="D22" s="4" t="str">
        <ns0:v>K4 Blatt 18 / 51</ns0:v>
      </ns0:c>
      <ns0:c r="E22" s="4" t="str">
        <ns0:v>Tatsächlicher Saldo</ns0:v>
      </ns0:c>
    </ns0:row>
    <ns0:row r="23" ht="20" customHeight="1">
      <ns0:c r="A23" s="4" t="str">
        <ns0:v>Bank vor neuer Erstattung</ns0:v>
      </ns0:c>
      <ns0:c r="B23" s="9" t="n">
        <ns0:v>383000</ns0:v>
      </ns0:c>
      <ns0:c r="C23" s="16" t="n">
        <ns0:v>45414</ns0:v>
      </ns0:c>
      <ns0:c r="D23" s="4" t="str">
        <ns0:v>K7 Blatt 6</ns0:v>
      </ns0:c>
      <ns0:c r="E23" s="4" t="str">
        <ns0:v>Kein neuer Eingang mitgeteilt</ns0:v>
      </ns0:c>
    </ns0:row>
    <ns0:row r="24" ht="20" customHeight="1">
      <ns0:c r="A24" s="4" t="str">
        <ns0:v>Erstattung am Aprilstichtag</ns0:v>
      </ns0:c>
      <ns0:c r="B24" s="9" t="n">
        <ns0:v>0</ns0:v>
      </ns0:c>
      <ns0:c r="C24" s="16" t="n">
        <ns0:v>45397</ns0:v>
      </ns0:c>
      <ns0:c r="D24" s="4" t="str">
        <ns0:v>K7 Blatt 6 / 54</ns0:v>
      </ns0:c>
      <ns0:c r="E24" s="4" t="str">
        <ns0:v>Noch nicht vereinbart</ns0:v>
      </ns0:c>
    </ns0:row>
    <ns0:row r="25" ht="20" customHeight="1">
      <ns0:c r="A25" s="4" t="str">
        <ns0:v>Erstattung am Maistichtag</ns0:v>
      </ns0:c>
      <ns0:c r="B25" s="9" t="n">
        <ns0:v>598600</ns0:v>
      </ns0:c>
      <ns0:c r="C25" s="16" t="n">
        <ns0:v>45414</ns0:v>
      </ns0:c>
      <ns0:c r="D25" s="4" t="str">
        <ns0:v>K7 Blatt 6 / 54</ns0:v>
      </ns0:c>
      <ns0:c r="E25" s="4" t="str">
        <ns0:v>Neue Forderung; noch unbezahlt</ns0:v>
      </ns0:c>
    </ns0:row>
    <ns0:row r="26" ht="17" customHeight="1">
      <ns0:c r="A26" s="2"/>
      <ns0:c r="B26" s="2"/>
      <ns0:c r="C26" s="2"/>
      <ns0:c r="D26" s="2"/>
      <ns0:c r="E26" s="2"/>
    </ns0:row>
    <ns0:row r="27" ht="17" customHeight="1">
      <ns0:c r="A27" s="5" t="str">
        <ns0:v>Fortbestand der zwölf ausgewählten Posten am 02.05.: Erinnerung mit Kontenabgleich Kröger, Dokument 55.</ns0:v>
      </ns0:c>
      <ns0:c r="B27" s="4"/>
      <ns0:c r="C27" s="4"/>
      <ns0:c r="D27" s="4"/>
      <ns0:c r="E27" s="4"/>
    </ns0:row>
    <ns0:row r="28" ht="17" customHeight="1">
      <ns0:c r="A28" s="2"/>
      <ns0:c r="B28" s="2"/>
      <ns0:c r="C28" s="2"/>
      <ns0:c r="D28" s="2"/>
      <ns0:c r="E28" s="2"/>
    </ns0:row>
  </ns0:sheetData>
  <ns0:mergeCells>
    <ns0:mergeCell ref="A3:E3"/>
    <ns0:mergeCell ref="A27:E27"/>
  </ns0:mergeCells>
  <ns0:pageMargins left="0.3" right="0.3" top="0.35" bottom="0.4" header="0.15" footer="0.15"/>
  <ns0:pageSetup paperSize="9" orientation="landscape" fitToWidth="1" fitToHeight="0"/>
  <ns0:headerFooter>
    <ns0:oddFooter>&amp;LNF-WP-221014-01&amp;C&amp;A&amp;RSeite &amp;P / &amp;N</ns0:oddFooter>
  </ns0:headerFooter>
</ns0:worksheet>
</file>