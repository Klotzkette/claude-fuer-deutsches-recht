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9463b4d0947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gleich" sheetId="1" r:id="R4e6a79ef43244f33"/>
    <x:sheet xmlns:r="http://schemas.openxmlformats.org/officeDocument/2006/relationships" name="Bewegungen" sheetId="2" r:id="R37de341444c640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[$-407]#,##0.00_);[Red](#,##0.00);0.00_)"/>
    <x:numFmt numFmtId="201" formatCode="0&quot;  &quot;"/>
    <x:numFmt numFmtId="202" formatCode="dd.mm.yyyy"/>
  </x:numFmts>
  <x:fonts count="6">
    <x:font>
      <x:sz val="11"/>
      <x:name val="Carlito"/>
    </x:font>
    <x:font>
      <x:sz val="11"/>
      <x:color rgb="FF202020"/>
      <x:name val="Times New Roman"/>
    </x:font>
    <x:font>
      <x:b/>
      <x:sz val="15"/>
      <x:color rgb="FF202020"/>
      <x:name val="Times New Roman"/>
    </x:font>
    <x:font>
      <x:i/>
      <x:sz val="11"/>
      <x:color rgb="FF202020"/>
      <x:name val="Times New Roman"/>
    </x:font>
    <x:font>
      <x:b/>
      <x:sz val="11"/>
      <x:color rgb="FFFFFFFF"/>
      <x:name val="Times New Roman"/>
    </x:font>
    <x:font>
      <x:sz val="11"/>
      <x:color rgb="FF17613C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293A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69ea14840e487c" /><Relationship Type="http://schemas.openxmlformats.org/officeDocument/2006/relationships/theme" Target="/xl/theme/theme1.xml" Id="Rdd0bc87fb2334e8b" /><Relationship Type="http://schemas.openxmlformats.org/officeDocument/2006/relationships/sharedStrings" Target="/xl/sharedStrings.xml" Id="Rd048b2ffdd2e4df1" /><Relationship Type="http://schemas.openxmlformats.org/officeDocument/2006/relationships/worksheet" Target="/xl/worksheets/sheet1.xml" Id="R4e6a79ef43244f33" /><Relationship Type="http://schemas.openxmlformats.org/officeDocument/2006/relationships/worksheet" Target="/xl/worksheets/sheet2.xml" Id="R37de341444c640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pageSetUpPr fitToPage="1"/>
  </ns0:sheetPr>
  <ns0:sheetViews>
    <ns0:sheetView showGridLines="0" workbookViewId="0"/>
  </ns0:sheetViews>
  <ns0:sheetFormatPr defaultRowHeight="15"/>
  <ns0:cols>
    <ns0:col min="1" max="1" width="48.88999938964844" hidden="0" customWidth="1"/>
    <ns0:col min="2" max="2" width="18.889999389648438" hidden="0" customWidth="1"/>
    <ns0:col min="3" max="3" width="46.66999816894531" hidden="0" customWidth="1"/>
  </ns0:cols>
  <ns0:sheetData>
    <ns0:row r="1" ht="17" customHeight="1">
      <ns0:c r="A1" s="2"/>
      <ns0:c r="B1" s="2"/>
      <ns0:c r="C1" s="2"/>
    </ns0:row>
    <ns0:row r="2" ht="30" customHeight="1">
      <ns0:c r="A2" s="3" t="str">
        <ns0:v>Ausführungen und bloße Vorschläge</ns0:v>
      </ns0:c>
      <ns0:c r="B2" s="2"/>
      <ns0:c r="C2" s="2"/>
    </ns0:row>
    <ns0:row r="3" ht="17" customHeight="1">
      <ns0:c r="A3" s="5" t="str">
        <ns0:v>Zusammenstellung 24.09.2026 | Beträge in EUR | Kein Urteil über die Rückgewährpflicht</ns0:v>
      </ns0:c>
      <ns0:c r="B3" s="4"/>
      <ns0:c r="C3" s="4"/>
    </ns0:row>
    <ns0:row r="4" ht="17" customHeight="1">
      <ns0:c r="A4" s="2"/>
      <ns0:c r="B4" s="2"/>
      <ns0:c r="C4" s="2"/>
    </ns0:row>
    <ns0:row r="5" ht="28" customHeight="1">
      <ns0:c r="A5" s="8" t="str">
        <ns0:v>Vorgang</ns0:v>
      </ns0:c>
      <ns0:c r="B5" s="8" t="str">
        <ns0:v>Betrag EUR</ns0:v>
      </ns0:c>
      <ns0:c r="C5" s="8" t="str">
        <ns0:v>Abgrenzung</ns0:v>
      </ns0:c>
    </ns0:row>
    <ns0:row r="6" ht="24" customHeight="1">
      <ns0:c r="A6" s="4" t="str">
        <ns0:v>Schuldnerzahlungen an Vellio</ns0:v>
      </ns0:c>
      <ns0:c r="B6" s="9" t="n">
        <ns0:f>SUMIFS(Bewegungen!$E$6:$E$27,Bewegungen!$D$6:$D$27,"Schuldnerzahlung",Bewegungen!$F$6:$F$27,"ausgeführt")</ns0:f>
        <ns0:v>590000</ns0:v>
      </ns0:c>
      <ns0:c r="C6" s="4" t="str">
        <ns0:v>18 Zinsraten und Endtilgung</ns0:v>
      </ns0:c>
    </ns0:row>
    <ns0:row r="7" ht="24" customHeight="1">
      <ns0:c r="A7" s="4" t="str">
        <ns0:v>Davon Zahlungen ab 02.02.2024</ns0:v>
      </ns0:c>
      <ns0:c r="B7" s="9" t="n">
        <ns0:f>SUMIFS(Bewegungen!$E$6:$E$27,Bewegungen!$D$6:$D$27,"Schuldnerzahlung",Bewegungen!$F$6:$F$27,"ausgeführt",Bewegungen!$B$6:$B$27,"&gt;="&amp;DATE(2024,2,2))</ns0:f>
        <ns0:v>515000</ns0:v>
      </ns0:c>
      <ns0:c r="C7" s="4" t="str">
        <ns0:v>Teilbetrag der Zeile darüber</ns0:v>
      </ns0:c>
    </ns0:row>
    <ns0:row r="8" ht="24" customHeight="1">
      <ns0:c r="A8" s="4" t="str">
        <ns0:v>Davon Schlusszahlungen 15.04.2024</ns0:v>
      </ns0:c>
      <ns0:c r="B8" s="9" t="n">
        <ns0:f>SUMIFS(Bewegungen!$E$6:$E$27,Bewegungen!$D$6:$D$27,"Schuldnerzahlung",Bewegungen!$B$6:$B$27,DATE(2024,4,15))</ns0:f>
        <ns0:v>505000</ns0:v>
      </ns0:c>
      <ns0:c r="C8" s="4" t="str">
        <ns0:v>5.000 Zins und 500.000 Kapital</ns0:v>
      </ns0:c>
    </ns0:row>
    <ns0:row r="9" ht="24" customHeight="1">
      <ns0:c r="A9" s="4" t="str">
        <ns0:v>Erwerbspreis Vellio an Nexora</ns0:v>
      </ns0:c>
      <ns0:c r="B9" s="9" t="n">
        <ns0:f>SUMIFS(Bewegungen!$E$6:$E$27,Bewegungen!$D$6:$D$27,"Erwerbspreis")</ns0:f>
        <ns0:v>500000</ns0:v>
      </ns0:c>
      <ns0:c r="C9" s="4" t="str">
        <ns0:v>Eigener Vorgang am 14.10.2022</ns0:v>
      </ns0:c>
    </ns0:row>
    <ns0:row r="10" ht="24" customHeight="1">
      <ns0:c r="A10" s="4" t="str">
        <ns0:v>Angefragte Direktzahlung an Nordkai</ns0:v>
      </ns0:c>
      <ns0:c r="B10" s="9" t="n">
        <ns0:f>SUMIFS(Bewegungen!$E$6:$E$27,Bewegungen!$D$6:$D$27,"Vorschlag")</ns0:f>
        <ns0:v>42840</ns0:v>
      </ns0:c>
      <ns0:c r="C10" s="4" t="str">
        <ns0:v>Nicht ausgeführt; kein Zahlungseingang</ns0:v>
      </ns0:c>
    </ns0:row>
    <ns0:row r="11" ht="24" customHeight="1">
      <ns0:c r="A11" s="4" t="str">
        <ns0:v>Bankauszahlung an Weserfunken</ns0:v>
      </ns0:c>
      <ns0:c r="B11" s="9" t="n">
        <ns0:f>SUMIFS(Bewegungen!$E$6:$E$27,Bewegungen!$D$6:$D$27,"Auszahlung")</ns0:f>
        <ns0:v>500000</ns0:v>
      </ns0:c>
      <ns0:c r="C11" s="4" t="str">
        <ns0:v>Zufluss; keine Rückzahlung</ns0:v>
      </ns0:c>
    </ns0:row>
    <ns0:row r="12" ht="24" customHeight="1">
      <ns0:c r="A12" s="4" t="str">
        <ns0:v>Ausgeführte Schuldnerzahlungen gezählt</ns0:v>
      </ns0:c>
      <ns0:c r="B12" s="10" t="n">
        <ns0:f>COUNTIFS(Bewegungen!$D$6:$D$27,"Schuldnerzahlung",Bewegungen!$F$6:$F$27,"ausgeführt")</ns0:f>
        <ns0:v>19</ns0:v>
      </ns0:c>
      <ns0:c r="C12" s="4" t="str">
        <ns0:v>19 Einzelaufträge</ns0:v>
      </ns0:c>
    </ns0:row>
    <ns0:row r="13" ht="17" customHeight="1">
      <ns0:c r="A13" s="2"/>
      <ns0:c r="B13" s="2"/>
      <ns0:c r="C13" s="2"/>
    </ns0:row>
    <ns0:row r="14" ht="17" customHeight="1">
      <ns0:c r="A14" s="2"/>
      <ns0:c r="B14" s="2"/>
      <ns0:c r="C14" s="2"/>
    </ns0:row>
    <ns0:row r="15" ht="17" customHeight="1">
      <ns0:c r="A15" s="5" t="str">
        <ns0:v>Keine Addition der Teilsummen. Erwerbspreis, Auszahlung und Vorschlag sind keine Schuldnerzahlungen.</ns0:v>
      </ns0:c>
      <ns0:c r="B15" s="4"/>
      <ns0:c r="C15" s="4"/>
    </ns0:row>
    <ns0:row r="16" ht="17" customHeight="1">
      <ns0:c r="A16" s="2"/>
      <ns0:c r="B16" s="2"/>
      <ns0:c r="C16" s="2"/>
    </ns0:row>
    <ns0:row r="17" ht="17" customHeight="1">
      <ns0:c r="A17" s="5" t="str">
        <ns0:v>Die rechtliche Zeitraumberechnung ist gesondert zu prüfen. 02.02.2024 dient hier nur dem Belegabgleich.</ns0:v>
      </ns0:c>
      <ns0:c r="B17" s="4"/>
      <ns0:c r="C17" s="4"/>
    </ns0:row>
    <ns0:row r="18" ht="17" customHeight="1">
      <ns0:c r="A18" s="2"/>
      <ns0:c r="B18" s="2"/>
      <ns0:c r="C18" s="2"/>
    </ns0:row>
    <ns0:row r="19" ht="17" customHeight="1">
      <ns0:c r="A19" s="5" t="str">
        <ns0:v>Der Vertragswechsel um 12:30 Uhr ist eine Vereinbarung, keine zusätzliche Geldbewegung.</ns0:v>
      </ns0:c>
      <ns0:c r="B19" s="4"/>
      <ns0:c r="C19" s="4"/>
    </ns0:row>
    <ns0:row r="20" ht="17" customHeight="1">
      <ns0:c r="A20" s="2"/>
      <ns0:c r="B20" s="2"/>
      <ns0:c r="C20" s="2"/>
    </ns0:row>
    <ns0:row r="21" ht="17" customHeight="1">
      <ns0:c r="A21" s="5" t="str">
        <ns0:v>Ein wahrer Empfängername beweist noch nicht die rechtliche Anspruchsgegnerstellung.</ns0:v>
      </ns0:c>
      <ns0:c r="B21" s="4"/>
      <ns0:c r="C21" s="4"/>
    </ns0:row>
    <ns0:row r="22" ht="17" customHeight="1">
      <ns0:c r="A22" s="2"/>
      <ns0:c r="B22" s="2"/>
      <ns0:c r="C22" s="2"/>
    </ns0:row>
    <ns0:row r="23" ht="17" customHeight="1">
      <ns0:c r="A23" s="5" t="str">
        <ns0:v>Erinnerungen und Kenntnisstände: Dokumente 55 bis 57. Diese Mappe trifft keine Beweiswürdigung.</ns0:v>
      </ns0:c>
      <ns0:c r="B23" s="4"/>
      <ns0:c r="C23" s="4"/>
    </ns0:row>
    <ns0:row r="24" ht="17" customHeight="1">
      <ns0:c r="A24" s="2"/>
      <ns0:c r="B24" s="2"/>
      <ns0:c r="C24" s="2"/>
    </ns0:row>
  </ns0:sheetData>
  <ns0:mergeCells>
    <ns0:mergeCell ref="A3:C3"/>
    <ns0:mergeCell ref="A15:C15"/>
    <ns0:mergeCell ref="A17:C17"/>
    <ns0:mergeCell ref="A19:C19"/>
    <ns0:mergeCell ref="A21:C21"/>
    <ns0:mergeCell ref="A23:C23"/>
  </ns0:mergeCells>
  <ns0:pageMargins left="0.3" right="0.3" top="0.35" bottom="0.4" header="0.15" footer="0.15"/>
  <ns0:pageSetup paperSize="9" orientation="landscape" fitToWidth="1" fitToHeight="0"/>
  <ns0:headerFooter>
    <ns0:oddFooter>&amp;LNF-WP-221014-01&amp;C&amp;A&amp;RSeite &amp;P / &amp;N</ns0:oddFooter>
  </ns0:headerFooter>
</ns0:worksheet>
</file>

<file path=xl/worksheets/sheet2.xml><?xml version="1.0" encoding="utf-8"?>
<ns0:worksheet xmlns:ns0="http://schemas.openxmlformats.org/spreadsheetml/2006/main">
  <ns0:sheetPr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8.670000076293945" hidden="0" customWidth="1"/>
    <ns0:col min="2" max="2" width="12.779999732971191" hidden="0" customWidth="1"/>
    <ns0:col min="3" max="3" width="28.889999389648438" hidden="0" customWidth="1"/>
    <ns0:col min="4" max="4" width="16.670000076293945" hidden="0" customWidth="1"/>
    <ns0:col min="5" max="5" width="14.4399995803833" hidden="0" customWidth="1"/>
    <ns0:col min="6" max="6" width="15.5600004196167" hidden="0" customWidth="1"/>
    <ns0:col min="7" max="7" width="25.559999465942383" hidden="0" customWidth="1"/>
  </ns0:cols>
  <ns0:sheetData>
    <ns0:row r="1" ht="17" customHeight="1">
      <ns0:c r="A1" s="2"/>
      <ns0:c r="B1" s="2"/>
      <ns0:c r="C1" s="2"/>
      <ns0:c r="D1" s="2"/>
      <ns0:c r="E1" s="2"/>
      <ns0:c r="F1" s="2"/>
      <ns0:c r="G1" s="2"/>
    </ns0:row>
    <ns0:row r="2" ht="30" customHeight="1">
      <ns0:c r="A2" s="3" t="str">
        <ns0:v>Zahlungsdaten mit Beleg und Status</ns0:v>
      </ns0:c>
      <ns0:c r="B2" s="2"/>
      <ns0:c r="C2" s="2"/>
      <ns0:c r="D2" s="2"/>
      <ns0:c r="E2" s="2"/>
      <ns0:c r="F2" s="2"/>
      <ns0:c r="G2" s="2"/>
    </ns0:row>
    <ns0:row r="3" ht="17" customHeight="1">
      <ns0:c r="A3" s="5" t="str">
        <ns0:v>Quellen: K3, K4, B3, B4; Vorschlag in 62 und Absage in 63. Beträge sind positiv dargestellt.</ns0:v>
      </ns0:c>
      <ns0:c r="B3" s="4"/>
      <ns0:c r="C3" s="4"/>
      <ns0:c r="D3" s="4"/>
      <ns0:c r="E3" s="4"/>
      <ns0:c r="F3" s="4"/>
      <ns0:c r="G3" s="4"/>
    </ns0:row>
    <ns0:row r="4" ht="17" customHeight="1">
      <ns0:c r="A4" s="2"/>
      <ns0:c r="B4" s="2"/>
      <ns0:c r="C4" s="2"/>
      <ns0:c r="D4" s="2"/>
      <ns0:c r="E4" s="2"/>
      <ns0:c r="F4" s="2"/>
      <ns0:c r="G4" s="2"/>
    </ns0:row>
    <ns0:row r="5" ht="28" customHeight="1">
      <ns0:c r="A5" s="8" t="str">
        <ns0:v>ID</ns0:v>
      </ns0:c>
      <ns0:c r="B5" s="8" t="str">
        <ns0:v>Datum</ns0:v>
      </ns0:c>
      <ns0:c r="C5" s="8" t="str">
        <ns0:v>Sender an Empfänger</ns0:v>
      </ns0:c>
      <ns0:c r="D5" s="8" t="str">
        <ns0:v>Art</ns0:v>
      </ns0:c>
      <ns0:c r="E5" s="8" t="str">
        <ns0:v>Betrag EUR</ns0:v>
      </ns0:c>
      <ns0:c r="F5" s="8" t="str">
        <ns0:v>Status</ns0:v>
      </ns0:c>
      <ns0:c r="G5" s="8" t="str">
        <ns0:v>Beleg</ns0:v>
      </ns0:c>
    </ns0:row>
    <ns0:row r="6" ht="17" customHeight="1">
      <ns0:c r="A6" s="4" t="str">
        <ns0:v>Z01</ns0:v>
      </ns0:c>
      <ns0:c r="B6" s="15" t="n">
        <ns0:v>44880</ns0:v>
      </ns0:c>
      <ns0:c r="C6" s="4" t="str">
        <ns0:v>Weserfunken an Vellio</ns0:v>
      </ns0:c>
      <ns0:c r="D6" s="4" t="str">
        <ns0:v>Schuldnerzahlung</ns0:v>
      </ns0:c>
      <ns0:c r="E6" s="14" t="n">
        <ns0:v>5000</ns0:v>
      </ns0:c>
      <ns0:c r="F6" s="4" t="str">
        <ns0:v>ausgeführt</ns0:v>
      </ns0:c>
      <ns0:c r="G6" s="4" t="str">
        <ns0:v>K4 Blatt 1 / B3</ns0:v>
      </ns0:c>
    </ns0:row>
    <ns0:row r="7" ht="17" customHeight="1">
      <ns0:c r="A7" s="4" t="str">
        <ns0:v>Z02</ns0:v>
      </ns0:c>
      <ns0:c r="B7" s="15" t="n">
        <ns0:v>44910</ns0:v>
      </ns0:c>
      <ns0:c r="C7" s="4" t="str">
        <ns0:v>Weserfunken an Vellio</ns0:v>
      </ns0:c>
      <ns0:c r="D7" s="4" t="str">
        <ns0:v>Schuldnerzahlung</ns0:v>
      </ns0:c>
      <ns0:c r="E7" s="14" t="n">
        <ns0:v>5000</ns0:v>
      </ns0:c>
      <ns0:c r="F7" s="4" t="str">
        <ns0:v>ausgeführt</ns0:v>
      </ns0:c>
      <ns0:c r="G7" s="4" t="str">
        <ns0:v>K4 Blatt 2 / B3</ns0:v>
      </ns0:c>
    </ns0:row>
    <ns0:row r="8" ht="17" customHeight="1">
      <ns0:c r="A8" s="4" t="str">
        <ns0:v>Z03</ns0:v>
      </ns0:c>
      <ns0:c r="B8" s="15" t="n">
        <ns0:v>44942</ns0:v>
      </ns0:c>
      <ns0:c r="C8" s="4" t="str">
        <ns0:v>Weserfunken an Vellio</ns0:v>
      </ns0:c>
      <ns0:c r="D8" s="4" t="str">
        <ns0:v>Schuldnerzahlung</ns0:v>
      </ns0:c>
      <ns0:c r="E8" s="14" t="n">
        <ns0:v>5000</ns0:v>
      </ns0:c>
      <ns0:c r="F8" s="4" t="str">
        <ns0:v>ausgeführt</ns0:v>
      </ns0:c>
      <ns0:c r="G8" s="4" t="str">
        <ns0:v>K4 Blatt 3 / B3</ns0:v>
      </ns0:c>
    </ns0:row>
    <ns0:row r="9" ht="17" customHeight="1">
      <ns0:c r="A9" s="4" t="str">
        <ns0:v>Z04</ns0:v>
      </ns0:c>
      <ns0:c r="B9" s="15" t="n">
        <ns0:v>44972</ns0:v>
      </ns0:c>
      <ns0:c r="C9" s="4" t="str">
        <ns0:v>Weserfunken an Vellio</ns0:v>
      </ns0:c>
      <ns0:c r="D9" s="4" t="str">
        <ns0:v>Schuldnerzahlung</ns0:v>
      </ns0:c>
      <ns0:c r="E9" s="14" t="n">
        <ns0:v>5000</ns0:v>
      </ns0:c>
      <ns0:c r="F9" s="4" t="str">
        <ns0:v>ausgeführt</ns0:v>
      </ns0:c>
      <ns0:c r="G9" s="4" t="str">
        <ns0:v>K4 Blatt 4 / B3</ns0:v>
      </ns0:c>
    </ns0:row>
    <ns0:row r="10" ht="17" customHeight="1">
      <ns0:c r="A10" s="4" t="str">
        <ns0:v>Z05</ns0:v>
      </ns0:c>
      <ns0:c r="B10" s="15" t="n">
        <ns0:v>45000</ns0:v>
      </ns0:c>
      <ns0:c r="C10" s="4" t="str">
        <ns0:v>Weserfunken an Vellio</ns0:v>
      </ns0:c>
      <ns0:c r="D10" s="4" t="str">
        <ns0:v>Schuldnerzahlung</ns0:v>
      </ns0:c>
      <ns0:c r="E10" s="14" t="n">
        <ns0:v>5000</ns0:v>
      </ns0:c>
      <ns0:c r="F10" s="4" t="str">
        <ns0:v>ausgeführt</ns0:v>
      </ns0:c>
      <ns0:c r="G10" s="4" t="str">
        <ns0:v>K4 Blatt 5 / B3</ns0:v>
      </ns0:c>
    </ns0:row>
    <ns0:row r="11" ht="17" customHeight="1">
      <ns0:c r="A11" s="4" t="str">
        <ns0:v>Z06</ns0:v>
      </ns0:c>
      <ns0:c r="B11" s="15" t="n">
        <ns0:v>45033</ns0:v>
      </ns0:c>
      <ns0:c r="C11" s="4" t="str">
        <ns0:v>Weserfunken an Vellio</ns0:v>
      </ns0:c>
      <ns0:c r="D11" s="4" t="str">
        <ns0:v>Schuldnerzahlung</ns0:v>
      </ns0:c>
      <ns0:c r="E11" s="14" t="n">
        <ns0:v>5000</ns0:v>
      </ns0:c>
      <ns0:c r="F11" s="4" t="str">
        <ns0:v>ausgeführt</ns0:v>
      </ns0:c>
      <ns0:c r="G11" s="4" t="str">
        <ns0:v>K4 Blatt 6 / B3</ns0:v>
      </ns0:c>
    </ns0:row>
    <ns0:row r="12" ht="17" customHeight="1">
      <ns0:c r="A12" s="4" t="str">
        <ns0:v>Z07</ns0:v>
      </ns0:c>
      <ns0:c r="B12" s="15" t="n">
        <ns0:v>45061</ns0:v>
      </ns0:c>
      <ns0:c r="C12" s="4" t="str">
        <ns0:v>Weserfunken an Vellio</ns0:v>
      </ns0:c>
      <ns0:c r="D12" s="4" t="str">
        <ns0:v>Schuldnerzahlung</ns0:v>
      </ns0:c>
      <ns0:c r="E12" s="14" t="n">
        <ns0:v>5000</ns0:v>
      </ns0:c>
      <ns0:c r="F12" s="4" t="str">
        <ns0:v>ausgeführt</ns0:v>
      </ns0:c>
      <ns0:c r="G12" s="4" t="str">
        <ns0:v>K4 Blatt 7 / B3</ns0:v>
      </ns0:c>
    </ns0:row>
    <ns0:row r="13" ht="17" customHeight="1">
      <ns0:c r="A13" s="4" t="str">
        <ns0:v>Z08</ns0:v>
      </ns0:c>
      <ns0:c r="B13" s="15" t="n">
        <ns0:v>45092</ns0:v>
      </ns0:c>
      <ns0:c r="C13" s="4" t="str">
        <ns0:v>Weserfunken an Vellio</ns0:v>
      </ns0:c>
      <ns0:c r="D13" s="4" t="str">
        <ns0:v>Schuldnerzahlung</ns0:v>
      </ns0:c>
      <ns0:c r="E13" s="14" t="n">
        <ns0:v>5000</ns0:v>
      </ns0:c>
      <ns0:c r="F13" s="4" t="str">
        <ns0:v>ausgeführt</ns0:v>
      </ns0:c>
      <ns0:c r="G13" s="4" t="str">
        <ns0:v>K4 Blatt 8 / B3</ns0:v>
      </ns0:c>
    </ns0:row>
    <ns0:row r="14" ht="17" customHeight="1">
      <ns0:c r="A14" s="4" t="str">
        <ns0:v>Z09</ns0:v>
      </ns0:c>
      <ns0:c r="B14" s="15" t="n">
        <ns0:v>45124</ns0:v>
      </ns0:c>
      <ns0:c r="C14" s="4" t="str">
        <ns0:v>Weserfunken an Vellio</ns0:v>
      </ns0:c>
      <ns0:c r="D14" s="4" t="str">
        <ns0:v>Schuldnerzahlung</ns0:v>
      </ns0:c>
      <ns0:c r="E14" s="14" t="n">
        <ns0:v>5000</ns0:v>
      </ns0:c>
      <ns0:c r="F14" s="4" t="str">
        <ns0:v>ausgeführt</ns0:v>
      </ns0:c>
      <ns0:c r="G14" s="4" t="str">
        <ns0:v>K4 Blatt 9 / B3</ns0:v>
      </ns0:c>
    </ns0:row>
    <ns0:row r="15" ht="17" customHeight="1">
      <ns0:c r="A15" s="4" t="str">
        <ns0:v>Z10</ns0:v>
      </ns0:c>
      <ns0:c r="B15" s="15" t="n">
        <ns0:v>45154</ns0:v>
      </ns0:c>
      <ns0:c r="C15" s="4" t="str">
        <ns0:v>Weserfunken an Vellio</ns0:v>
      </ns0:c>
      <ns0:c r="D15" s="4" t="str">
        <ns0:v>Schuldnerzahlung</ns0:v>
      </ns0:c>
      <ns0:c r="E15" s="14" t="n">
        <ns0:v>5000</ns0:v>
      </ns0:c>
      <ns0:c r="F15" s="4" t="str">
        <ns0:v>ausgeführt</ns0:v>
      </ns0:c>
      <ns0:c r="G15" s="4" t="str">
        <ns0:v>K4 Blatt 10 / B3</ns0:v>
      </ns0:c>
    </ns0:row>
    <ns0:row r="16" ht="17" customHeight="1">
      <ns0:c r="A16" s="4" t="str">
        <ns0:v>Z11</ns0:v>
      </ns0:c>
      <ns0:c r="B16" s="15" t="n">
        <ns0:v>45184</ns0:v>
      </ns0:c>
      <ns0:c r="C16" s="4" t="str">
        <ns0:v>Weserfunken an Vellio</ns0:v>
      </ns0:c>
      <ns0:c r="D16" s="4" t="str">
        <ns0:v>Schuldnerzahlung</ns0:v>
      </ns0:c>
      <ns0:c r="E16" s="14" t="n">
        <ns0:v>5000</ns0:v>
      </ns0:c>
      <ns0:c r="F16" s="4" t="str">
        <ns0:v>ausgeführt</ns0:v>
      </ns0:c>
      <ns0:c r="G16" s="4" t="str">
        <ns0:v>K4 Blatt 11 / B3</ns0:v>
      </ns0:c>
    </ns0:row>
    <ns0:row r="17" ht="17" customHeight="1">
      <ns0:c r="A17" s="4" t="str">
        <ns0:v>Z12</ns0:v>
      </ns0:c>
      <ns0:c r="B17" s="15" t="n">
        <ns0:v>45215</ns0:v>
      </ns0:c>
      <ns0:c r="C17" s="4" t="str">
        <ns0:v>Weserfunken an Vellio</ns0:v>
      </ns0:c>
      <ns0:c r="D17" s="4" t="str">
        <ns0:v>Schuldnerzahlung</ns0:v>
      </ns0:c>
      <ns0:c r="E17" s="14" t="n">
        <ns0:v>5000</ns0:v>
      </ns0:c>
      <ns0:c r="F17" s="4" t="str">
        <ns0:v>ausgeführt</ns0:v>
      </ns0:c>
      <ns0:c r="G17" s="4" t="str">
        <ns0:v>K4 Blatt 12 / B3</ns0:v>
      </ns0:c>
    </ns0:row>
    <ns0:row r="18" ht="17" customHeight="1">
      <ns0:c r="A18" s="4" t="str">
        <ns0:v>Z13</ns0:v>
      </ns0:c>
      <ns0:c r="B18" s="15" t="n">
        <ns0:v>45245</ns0:v>
      </ns0:c>
      <ns0:c r="C18" s="4" t="str">
        <ns0:v>Weserfunken an Vellio</ns0:v>
      </ns0:c>
      <ns0:c r="D18" s="4" t="str">
        <ns0:v>Schuldnerzahlung</ns0:v>
      </ns0:c>
      <ns0:c r="E18" s="14" t="n">
        <ns0:v>5000</ns0:v>
      </ns0:c>
      <ns0:c r="F18" s="4" t="str">
        <ns0:v>ausgeführt</ns0:v>
      </ns0:c>
      <ns0:c r="G18" s="4" t="str">
        <ns0:v>K4 Blatt 13 / B3</ns0:v>
      </ns0:c>
    </ns0:row>
    <ns0:row r="19" ht="17" customHeight="1">
      <ns0:c r="A19" s="4" t="str">
        <ns0:v>Z14</ns0:v>
      </ns0:c>
      <ns0:c r="B19" s="15" t="n">
        <ns0:v>45275</ns0:v>
      </ns0:c>
      <ns0:c r="C19" s="4" t="str">
        <ns0:v>Weserfunken an Vellio</ns0:v>
      </ns0:c>
      <ns0:c r="D19" s="4" t="str">
        <ns0:v>Schuldnerzahlung</ns0:v>
      </ns0:c>
      <ns0:c r="E19" s="14" t="n">
        <ns0:v>5000</ns0:v>
      </ns0:c>
      <ns0:c r="F19" s="4" t="str">
        <ns0:v>ausgeführt</ns0:v>
      </ns0:c>
      <ns0:c r="G19" s="4" t="str">
        <ns0:v>K4 Blatt 14 / B3</ns0:v>
      </ns0:c>
    </ns0:row>
    <ns0:row r="20" ht="17" customHeight="1">
      <ns0:c r="A20" s="4" t="str">
        <ns0:v>Z15</ns0:v>
      </ns0:c>
      <ns0:c r="B20" s="15" t="n">
        <ns0:v>45306</ns0:v>
      </ns0:c>
      <ns0:c r="C20" s="4" t="str">
        <ns0:v>Weserfunken an Vellio</ns0:v>
      </ns0:c>
      <ns0:c r="D20" s="4" t="str">
        <ns0:v>Schuldnerzahlung</ns0:v>
      </ns0:c>
      <ns0:c r="E20" s="14" t="n">
        <ns0:v>5000</ns0:v>
      </ns0:c>
      <ns0:c r="F20" s="4" t="str">
        <ns0:v>ausgeführt</ns0:v>
      </ns0:c>
      <ns0:c r="G20" s="4" t="str">
        <ns0:v>K4 Blatt 15 / B3</ns0:v>
      </ns0:c>
    </ns0:row>
    <ns0:row r="21" ht="17" customHeight="1">
      <ns0:c r="A21" s="4" t="str">
        <ns0:v>Z16</ns0:v>
      </ns0:c>
      <ns0:c r="B21" s="15" t="n">
        <ns0:v>45337</ns0:v>
      </ns0:c>
      <ns0:c r="C21" s="4" t="str">
        <ns0:v>Weserfunken an Vellio</ns0:v>
      </ns0:c>
      <ns0:c r="D21" s="4" t="str">
        <ns0:v>Schuldnerzahlung</ns0:v>
      </ns0:c>
      <ns0:c r="E21" s="14" t="n">
        <ns0:v>5000</ns0:v>
      </ns0:c>
      <ns0:c r="F21" s="4" t="str">
        <ns0:v>ausgeführt</ns0:v>
      </ns0:c>
      <ns0:c r="G21" s="4" t="str">
        <ns0:v>K4 Blatt 16 / B3</ns0:v>
      </ns0:c>
    </ns0:row>
    <ns0:row r="22" ht="17" customHeight="1">
      <ns0:c r="A22" s="4" t="str">
        <ns0:v>Z17</ns0:v>
      </ns0:c>
      <ns0:c r="B22" s="15" t="n">
        <ns0:v>45366</ns0:v>
      </ns0:c>
      <ns0:c r="C22" s="4" t="str">
        <ns0:v>Weserfunken an Vellio</ns0:v>
      </ns0:c>
      <ns0:c r="D22" s="4" t="str">
        <ns0:v>Schuldnerzahlung</ns0:v>
      </ns0:c>
      <ns0:c r="E22" s="14" t="n">
        <ns0:v>5000</ns0:v>
      </ns0:c>
      <ns0:c r="F22" s="4" t="str">
        <ns0:v>ausgeführt</ns0:v>
      </ns0:c>
      <ns0:c r="G22" s="4" t="str">
        <ns0:v>K4 Blatt 17 / B3</ns0:v>
      </ns0:c>
    </ns0:row>
    <ns0:row r="23" ht="17" customHeight="1">
      <ns0:c r="A23" s="4" t="str">
        <ns0:v>Z18</ns0:v>
      </ns0:c>
      <ns0:c r="B23" s="15" t="n">
        <ns0:v>45397</ns0:v>
      </ns0:c>
      <ns0:c r="C23" s="4" t="str">
        <ns0:v>Weserfunken an Vellio</ns0:v>
      </ns0:c>
      <ns0:c r="D23" s="4" t="str">
        <ns0:v>Schuldnerzahlung</ns0:v>
      </ns0:c>
      <ns0:c r="E23" s="14" t="n">
        <ns0:v>5000</ns0:v>
      </ns0:c>
      <ns0:c r="F23" s="4" t="str">
        <ns0:v>ausgeführt</ns0:v>
      </ns0:c>
      <ns0:c r="G23" s="4" t="str">
        <ns0:v>K4 Blatt 18 / B3</ns0:v>
      </ns0:c>
    </ns0:row>
    <ns0:row r="24" ht="17" customHeight="1">
      <ns0:c r="A24" s="4" t="str">
        <ns0:v>Z19</ns0:v>
      </ns0:c>
      <ns0:c r="B24" s="15" t="n">
        <ns0:v>45397</ns0:v>
      </ns0:c>
      <ns0:c r="C24" s="4" t="str">
        <ns0:v>Weserfunken an Vellio</ns0:v>
      </ns0:c>
      <ns0:c r="D24" s="4" t="str">
        <ns0:v>Schuldnerzahlung</ns0:v>
      </ns0:c>
      <ns0:c r="E24" s="14" t="n">
        <ns0:v>500000</ns0:v>
      </ns0:c>
      <ns0:c r="F24" s="4" t="str">
        <ns0:v>ausgeführt</ns0:v>
      </ns0:c>
      <ns0:c r="G24" s="4" t="str">
        <ns0:v>K4 Blatt 18 / B3</ns0:v>
      </ns0:c>
    </ns0:row>
    <ns0:row r="25" ht="17" customHeight="1">
      <ns0:c r="A25" s="4" t="str">
        <ns0:v>E01</ns0:v>
      </ns0:c>
      <ns0:c r="B25" s="15" t="n">
        <ns0:v>44848</ns0:v>
      </ns0:c>
      <ns0:c r="C25" s="4" t="str">
        <ns0:v>Vellio an Nexora</ns0:v>
      </ns0:c>
      <ns0:c r="D25" s="4" t="str">
        <ns0:v>Erwerbspreis</ns0:v>
      </ns0:c>
      <ns0:c r="E25" s="14" t="n">
        <ns0:v>500000</ns0:v>
      </ns0:c>
      <ns0:c r="F25" s="4" t="str">
        <ns0:v>ausgeführt</ns0:v>
      </ns0:c>
      <ns0:c r="G25" s="4" t="str">
        <ns0:v>B4, 12:31 Uhr</ns0:v>
      </ns0:c>
    </ns0:row>
    <ns0:row r="26" ht="17" customHeight="1">
      <ns0:c r="A26" s="4" t="str">
        <ns0:v>A01</ns0:v>
      </ns0:c>
      <ns0:c r="B26" s="15" t="n">
        <ns0:v>44848</ns0:v>
      </ns0:c>
      <ns0:c r="C26" s="4" t="str">
        <ns0:v>Nexora an Weserfunken</ns0:v>
      </ns0:c>
      <ns0:c r="D26" s="4" t="str">
        <ns0:v>Auszahlung</ns0:v>
      </ns0:c>
      <ns0:c r="E26" s="14" t="n">
        <ns0:v>500000</ns0:v>
      </ns0:c>
      <ns0:c r="F26" s="4" t="str">
        <ns0:v>ausgeführt</ns0:v>
      </ns0:c>
      <ns0:c r="G26" s="4" t="str">
        <ns0:v>K3, 10:11 Uhr</ns0:v>
      </ns0:c>
    </ns0:row>
    <ns0:row r="27" ht="17" customHeight="1">
      <ns0:c r="A27" s="4" t="str">
        <ns0:v>V01</ns0:v>
      </ns0:c>
      <ns0:c r="B27" s="15" t="n">
        <ns0:v>45398</ns0:v>
      </ns0:c>
      <ns0:c r="C27" s="4" t="str">
        <ns0:v>Nordhafen an Nordkai</ns0:v>
      </ns0:c>
      <ns0:c r="D27" s="4" t="str">
        <ns0:v>Vorschlag</ns0:v>
      </ns0:c>
      <ns0:c r="E27" s="14" t="n">
        <ns0:v>42840</ns0:v>
      </ns0:c>
      <ns0:c r="F27" s="4" t="str">
        <ns0:v>nicht ausgeführt</ns0:v>
      </ns0:c>
      <ns0:c r="G27" s="4" t="str">
        <ns0:v>62 / 63 / 52</ns0:v>
      </ns0:c>
    </ns0:row>
    <ns0:row r="28" ht="17" customHeight="1">
      <ns0:c r="A28" s="2"/>
      <ns0:c r="B28" s="2"/>
      <ns0:c r="C28" s="2"/>
      <ns0:c r="D28" s="2"/>
      <ns0:c r="E28" s="2"/>
      <ns0:c r="F28" s="2"/>
      <ns0:c r="G28" s="2"/>
    </ns0:row>
  </ns0:sheetData>
  <ns0:mergeCells>
    <ns0:mergeCell ref="A3:G3"/>
  </ns0:mergeCells>
  <ns0:pageMargins left="0.3" right="0.3" top="0.35" bottom="0.4" header="0.15" footer="0.15"/>
  <ns0:pageSetup paperSize="9" orientation="landscape" fitToWidth="1" fitToHeight="0"/>
  <ns0:headerFooter>
    <ns0:oddFooter>&amp;LNF-WP-221014-01&amp;C&amp;A&amp;RSeite &amp;P / &amp;N</ns0:oddFooter>
  </ns0:headerFooter>
</ns0:worksheet>
</file>