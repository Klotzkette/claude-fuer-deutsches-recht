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888aa102041b4" /><Relationship Id="rIdCore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zierung" sheetId="1" r:id="R5eb847599b1e42db"/>
    <x:sheet xmlns:r="http://schemas.openxmlformats.org/officeDocument/2006/relationships" name="Fälligkeiten" sheetId="2" r:id="R8417055cfe0043a3"/>
    <x:sheet xmlns:r="http://schemas.openxmlformats.org/officeDocument/2006/relationships" name="Mittelverwendung" sheetId="3" r:id="Ra646f23db4d04943"/>
  </x:sheets>
  <x:definedNames>
    <x:definedName name="_xlnm.Print_Area" localSheetId="0">'Finanzierung'!$B$2:$F$26</x:definedName>
    <x:definedName name="_xlnm.Print_Titles" localSheetId="0">'Finanzierung'!$2:$3</x:definedName>
    <x:definedName name="_xlnm.Print_Area" localSheetId="1">'Fälligkeiten'!$B$2:$I$29</x:definedName>
    <x:definedName name="_xlnm.Print_Titles" localSheetId="1">'Fälligkeiten'!$2:$3</x:definedName>
    <x:definedName name="_xlnm.Print_Area" localSheetId="2">'Mittelverwendung'!$B$2:$G$33</x:definedName>
    <x:definedName name="_xlnm.Print_Titles" localSheetId="2">'Mittelverwendung'!$2:$3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_);(#,##0.00);&quot;-&quot;_)"/>
    <x:numFmt numFmtId="201" formatCode="#,##0;(#,##0);&quot;-&quot;"/>
    <x:numFmt numFmtId="202" formatCode="yyyy-mm-dd"/>
    <x:numFmt numFmtId="203" formatCode="0%"/>
    <x:numFmt numFmtId="204" formatCode="mmm yyyy"/>
  </x:numFmts>
  <x:fonts count="9">
    <x:font>
      <x:sz val="11"/>
      <x:name val="Carlito"/>
    </x:font>
    <x:font>
      <x:sz val="11"/>
      <x:color rgb="FF222F3E"/>
      <x:name val="Arial"/>
    </x:font>
    <x:font>
      <x:b/>
      <x:sz val="15"/>
      <x:color rgb="FF244763"/>
      <x:name val="Arial"/>
    </x:font>
    <x:font>
      <x:b/>
      <x:sz val="11"/>
      <x:color rgb="FFFFFFFF"/>
      <x:name val="Arial"/>
    </x:font>
    <x:font>
      <x:sz val="11"/>
      <x:color rgb="FF1753A1"/>
      <x:name val="Arial"/>
    </x:font>
    <x:font>
      <x:sz val="10"/>
      <x:color rgb="FF222F3E"/>
      <x:name val="Arial"/>
    </x:font>
    <x:font>
      <x:sz val="11"/>
      <x:color rgb="FF000000"/>
      <x:name val="Arial"/>
    </x:font>
    <x:font>
      <x:b/>
      <x:sz val="11"/>
      <x:color rgb="FF222F3E"/>
      <x:name val="Arial"/>
    </x:font>
    <x:font>
      <x:sz val="11"/>
      <x:color rgb="FF2162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3"/>
      </x:patternFill>
    </x:fill>
    <x:fill>
      <x:patternFill patternType="solid">
        <x:fgColor rgb="FFFFF0C2"/>
      </x:patternFill>
    </x:fill>
    <x:fill>
      <x:patternFill patternType="solid">
        <x:fgColor rgb="FFEDF2F5"/>
      </x:patternFill>
    </x:fill>
  </x:fills>
  <x:borders count="6">
    <x:border/>
    <x:border>
      <x:bottom style="thin">
        <x:color rgb="FF24476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24476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horizontal="right" vertical="center"/>
    </x:xf>
    <x:xf numFmtId="0" fontId="7" fillId="4" borderId="5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horizontal="right" vertical="center"/>
    </x:xf>
    <x:xf numFmtId="203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3" fontId="7" fillId="4" borderId="5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32D32"/>
      </x:font>
      <x:fill>
        <x:patternFill patternType="solid">
          <x:bgColor rgb="FFFCE8E7"/>
        </x:patternFill>
      </x:fill>
    </x:dxf>
    <x:dxf>
      <x:font>
        <x:b/>
        <x:color rgb="FFA32D32"/>
      </x:font>
      <x:fill>
        <x:patternFill patternType="solid">
          <x:bgColor rgb="FFFCE8E7"/>
        </x:patternFill>
      </x:fill>
    </x:dxf>
    <x:dxf>
      <x:font>
        <x:b/>
        <x:color rgb="FFA32D32"/>
      </x:font>
      <x:fill>
        <x:patternFill patternType="solid">
          <x:bgColor rgb="FFFC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9a28d2f184890" /><Relationship Type="http://schemas.openxmlformats.org/officeDocument/2006/relationships/theme" Target="/xl/theme/theme1.xml" Id="R524d86bd3ec0464d" /><Relationship Type="http://schemas.openxmlformats.org/officeDocument/2006/relationships/sharedStrings" Target="/xl/sharedStrings.xml" Id="Reb379e8ebdd64083" /><Relationship Type="http://schemas.openxmlformats.org/officeDocument/2006/relationships/worksheet" Target="/xl/worksheets/sheet1.xml" Id="R5eb847599b1e42db" /><Relationship Type="http://schemas.openxmlformats.org/officeDocument/2006/relationships/worksheet" Target="/xl/worksheets/sheet2.xml" Id="R8417055cfe0043a3" /><Relationship Type="http://schemas.openxmlformats.org/officeDocument/2006/relationships/worksheet" Target="/xl/worksheets/sheet3.xml" Id="Ra646f23db4d0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11.670000076293945" hidden="0" customWidth="1"/>
    <x:col min="3" max="3" width="17.219999313354492" hidden="0" customWidth="1"/>
    <x:col min="4" max="4" width="46.11000061035156" hidden="0" customWidth="1"/>
    <x:col min="5" max="5" width="16.110000610351562" hidden="0" customWidth="1"/>
    <x:col min="6" max="6" width="43.33000183105469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Gründung und Seed: Mittel und Bedingungen</x:v>
      </x:c>
      <x:c r="C2" s="2"/>
      <x:c r="D2" s="2"/>
      <x:c r="E2" s="2"/>
      <x:c r="F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</x:row>
    <x:row r="4" ht="25" customHeight="1">
      <x:c r="A4" s="2"/>
      <x:c r="B4" s="4"/>
      <x:c r="C4" s="4"/>
      <x:c r="D4" s="4"/>
      <x:c r="E4" s="4"/>
      <x:c r="F4" s="4"/>
    </x:row>
    <x:row r="5" ht="25" customHeight="1">
      <x:c r="A5" s="2"/>
      <x:c r="B5" s="2"/>
      <x:c r="C5" s="2"/>
      <x:c r="D5" s="2"/>
      <x:c r="E5" s="2"/>
      <x:c r="F5" s="2"/>
    </x:row>
    <x:row r="6" ht="42" customHeight="1">
      <x:c r="A6" s="2"/>
      <x:c r="B6" s="13" t="str">
        <x:v>Quelle</x:v>
      </x:c>
      <x:c r="C6" s="14" t="str">
        <x:v>Geplant EUR</x:v>
      </x:c>
      <x:c r="D6" s="14" t="str">
        <x:v>Status zum 28.09.2026</x:v>
      </x:c>
      <x:c r="E6" s="14" t="str">
        <x:v>Belegter Zufluss EUR</x:v>
      </x:c>
      <x:c r="F6" s="15" t="str">
        <x:v>Zahlungstermin</x:v>
      </x:c>
    </x:row>
    <x:row r="7" ht="48" customHeight="1">
      <x:c r="A7" s="2"/>
      <x:c r="B7" s="22" t="str">
        <x:v>Gründung</x:v>
      </x:c>
      <x:c r="C7" s="23" t="n">
        <x:v>25000</x:v>
      </x:c>
      <x:c r="D7" s="22" t="str">
        <x:v>Vor Beurkundung. Kein Gesellschaftskonto.</x:v>
      </x:c>
      <x:c r="E7" s="24" t="n">
        <x:v>0</x:v>
      </x:c>
      <x:c r="F7" s="22" t="str">
        <x:v>Noch keine Zahlungsaufforderung.</x:v>
      </x:c>
    </x:row>
    <x:row r="8" ht="48" customHeight="1">
      <x:c r="A8" s="2"/>
      <x:c r="B8" s="22" t="str">
        <x:v>Seed</x:v>
      </x:c>
      <x:c r="C8" s="23" t="n">
        <x:v>600000</x:v>
      </x:c>
      <x:c r="D8" s="22" t="str">
        <x:v>Wolkenwickel: unverbindlicher Vorschlag.</x:v>
      </x:c>
      <x:c r="E8" s="24" t="n">
        <x:v>0</x:v>
      </x:c>
      <x:c r="F8" s="22" t="str">
        <x:v>Kein vereinbarter Auszahlungstermin.</x:v>
      </x:c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2"/>
      <x:c r="B10" s="25" t="str">
        <x:v>Die Planbeträge sind kein verfügbares Geld. Bis 28.09.2026 sind keine Einlagen oder Investorenzahlungen belegt.</x:v>
      </x:c>
      <x:c r="C10" s="2"/>
      <x:c r="D10" s="2"/>
      <x:c r="E10" s="2"/>
      <x:c r="F10" s="2"/>
    </x:row>
    <x:row r="11" ht="25" customHeight="1">
      <x:c r="A11" s="2"/>
      <x:c r="B11" s="25" t="str">
        <x:v>Serie A und Serie B bleiben hypothetische Varianten aus Datei 78. Hier ist dafür kein Zufluss angesetzt.</x:v>
      </x:c>
      <x:c r="C11" s="2"/>
      <x:c r="D11" s="2"/>
      <x:c r="E11" s="2"/>
      <x:c r="F11" s="2"/>
    </x:row>
    <x:row r="12" ht="25" customHeight="1">
      <x:c r="A12" s="2"/>
      <x:c r="B12" s="25" t="str">
        <x:v>25.000 EUR betreffen alle sieben Gründer; die Quote und die Nennbeträge bleiben in Datei 50.</x:v>
      </x:c>
      <x:c r="C12" s="2"/>
      <x:c r="D12" s="2"/>
      <x:c r="E12" s="2"/>
      <x:c r="F12" s="2"/>
    </x:row>
    <x:row r="13" ht="25" customHeight="1">
      <x:c r="A13" s="2"/>
      <x:c r="B13" s="25" t="str">
        <x:v>Abgestimmter Gründungsentwurf bis 12.10. erbeten. Notartermin 15.10. angefragt, nicht bestätigt.</x:v>
      </x:c>
      <x:c r="C13" s="2"/>
      <x:c r="D13" s="2"/>
      <x:c r="E13" s="2"/>
      <x:c r="F13" s="2"/>
    </x:row>
    <x:row r="14" ht="25" customHeight="1">
      <x:c r="A14" s="2"/>
      <x:c r="B14" s="25" t="str">
        <x:v>Auch erfüllte Prüfpunkte begründen keinen Zufluss. Maßgeblich bleiben Verträge, Zahlungsanforderung und Bankbeleg.</x:v>
      </x:c>
      <x:c r="C14" s="2"/>
      <x:c r="D14" s="2"/>
      <x:c r="E14" s="2"/>
      <x:c r="F14" s="2"/>
    </x:row>
    <x:row r="15" ht="42" customHeight="1">
      <x:c r="A15" s="2"/>
      <x:c r="B15" s="13" t="str">
        <x:v>ID</x:v>
      </x:c>
      <x:c r="C15" s="14" t="str">
        <x:v>Schritt</x:v>
      </x:c>
      <x:c r="D15" s="14" t="str">
        <x:v>Voraussetzung</x:v>
      </x:c>
      <x:c r="E15" s="14" t="str">
        <x:v>Nachweisstand</x:v>
      </x:c>
      <x:c r="F15" s="15" t="str">
        <x:v>Quelldatei</x:v>
      </x:c>
    </x:row>
    <x:row r="16" ht="48" customHeight="1">
      <x:c r="A16" s="2"/>
      <x:c r="B16" s="22" t="str">
        <x:v>G01</x:v>
      </x:c>
      <x:c r="C16" s="22" t="str">
        <x:v>Gründung</x:v>
      </x:c>
      <x:c r="D16" s="22" t="str">
        <x:v>Abgestimmte Gründungsunterlagen und Beurkundung</x:v>
      </x:c>
      <x:c r="E16" s="27" t="str">
        <x:v>Offen</x:v>
      </x:c>
      <x:c r="F16" s="22" t="str">
        <x:v>82_Notar_Datenaufnahme_20260928.docx</x:v>
      </x:c>
    </x:row>
    <x:row r="17" ht="48" customHeight="1">
      <x:c r="A17" s="2"/>
      <x:c r="B17" s="22" t="str">
        <x:v>G02</x:v>
      </x:c>
      <x:c r="C17" s="22" t="str">
        <x:v>Gründung</x:v>
      </x:c>
      <x:c r="D17" s="22" t="str">
        <x:v>Kontoeröffnung und Zahlungsangaben der Bank</x:v>
      </x:c>
      <x:c r="E17" s="27" t="str">
        <x:v>Offen</x:v>
      </x:c>
      <x:c r="F17" s="22" t="str">
        <x:v>75_Bank_KYC_Unterlagenliste_20260918.docx</x:v>
      </x:c>
    </x:row>
    <x:row r="18" ht="48" customHeight="1">
      <x:c r="A18" s="2"/>
      <x:c r="B18" s="22" t="str">
        <x:v>G03</x:v>
      </x:c>
      <x:c r="C18" s="22" t="str">
        <x:v>Gründung</x:v>
      </x:c>
      <x:c r="D18" s="22" t="str">
        <x:v>Einzahlungen aller sieben Gründer nach Zahlungsaufforderung</x:v>
      </x:c>
      <x:c r="E18" s="27" t="str">
        <x:v>Offen</x:v>
      </x:c>
      <x:c r="F18" s="22" t="str">
        <x:v>50_CapTable_Gruendung_und_Finanzierungsoptionen.xlsx</x:v>
      </x:c>
    </x:row>
    <x:row r="19" ht="48" customHeight="1">
      <x:c r="A19" s="2"/>
      <x:c r="B19" s="22" t="str">
        <x:v>S01</x:v>
      </x:c>
      <x:c r="C19" s="22" t="str">
        <x:v>Seed</x:v>
      </x:c>
      <x:c r="D19" s="22" t="str">
        <x:v>Wirksame Gründung und Geschäftsführungsbestellung</x:v>
      </x:c>
      <x:c r="E19" s="27" t="str">
        <x:v>Offen</x:v>
      </x:c>
      <x:c r="F19" s="22" t="str">
        <x:v>77_Wolkenwickel_Seed_Termsheet_20260921.docx</x:v>
      </x:c>
    </x:row>
    <x:row r="20" ht="48" customHeight="1">
      <x:c r="A20" s="2"/>
      <x:c r="B20" s="22" t="str">
        <x:v>S02</x:v>
      </x:c>
      <x:c r="C20" s="22" t="str">
        <x:v>Seed</x:v>
      </x:c>
      <x:c r="D20" s="22" t="str">
        <x:v>Nachweis wesentlicher Softwarerechte und Arbeitgeberabgrenzung</x:v>
      </x:c>
      <x:c r="E20" s="27" t="str">
        <x:v>Offen</x:v>
      </x:c>
      <x:c r="F20" s="22" t="str">
        <x:v>77_Wolkenwickel_Seed_Termsheet_20260921.docx</x:v>
      </x:c>
    </x:row>
    <x:row r="21" ht="48" customHeight="1">
      <x:c r="A21" s="2"/>
      <x:c r="B21" s="22" t="str">
        <x:v>S03</x:v>
      </x:c>
      <x:c r="C21" s="22" t="str">
        <x:v>Seed</x:v>
      </x:c>
      <x:c r="D21" s="22" t="str">
        <x:v>Plan für Produktprüfung, Versicherung und ersten Marktversuch</x:v>
      </x:c>
      <x:c r="E21" s="27" t="str">
        <x:v>Offen</x:v>
      </x:c>
      <x:c r="F21" s="22" t="str">
        <x:v>77_Wolkenwickel_Seed_Termsheet_20260921.docx</x:v>
      </x:c>
    </x:row>
    <x:row r="22" ht="48" customHeight="1">
      <x:c r="A22" s="2"/>
      <x:c r="B22" s="22" t="str">
        <x:v>S04</x:v>
      </x:c>
      <x:c r="C22" s="22" t="str">
        <x:v>Seed</x:v>
      </x:c>
      <x:c r="D22" s="22" t="str">
        <x:v>Interne Investorfreigabe und endgültige Verträge</x:v>
      </x:c>
      <x:c r="E22" s="27" t="str">
        <x:v>Offen</x:v>
      </x:c>
      <x:c r="F22" s="22" t="str">
        <x:v>77_Wolkenwickel_Seed_Termsheet_20260921.docx</x:v>
      </x:c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/>
      <x:c r="B25" s="2"/>
      <x:c r="C25" s="2" t="str">
        <x:v>Gründung offen</x:v>
      </x:c>
      <x:c r="D25" s="2"/>
      <x:c r="E25" s="30" t="n">
        <x:f>COUNTIFS(C16:C22,"Gründung",E16:E22,"&lt;&gt;Erfüllt")</x:f>
        <x:v>3</x:v>
      </x:c>
      <x:c r="F25" s="2"/>
    </x:row>
    <x:row r="26" ht="25" customHeight="1">
      <x:c r="A26" s="2"/>
      <x:c r="B26" s="2"/>
      <x:c r="C26" s="2" t="str">
        <x:v>Seed offen</x:v>
      </x:c>
      <x:c r="D26" s="2"/>
      <x:c r="E26" s="30" t="n">
        <x:f>COUNTIFS(C16:C22,"Seed",E16:E22,"&lt;&gt;Erfüllt")</x:f>
        <x:v>4</x:v>
      </x:c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</x:sheetData>
  <x:conditionalFormatting sqref="E25:E26">
    <x:cfRule type="cellIs" dxfId="0" priority="1" operator="greaterThan">
      <x:formula>0</x:formula>
    </x:cfRule>
  </x:conditionalFormatting>
  <x:dataValidations count="1">
    <x:dataValidation type="list" sqref="E16:E22">
      <x:formula1>"Offen,Erfüllt"</x:formula1>
    </x:dataValidation>
  </x:dataValidations>
  <x:rowBreaks count="1" manualBreakCount="1">
    <x:brk id="14" min="0" max="16383" man="1"/>
  </x:rowBreaks>
  <x:pageMargins left="0.25" right="0.25" top="0.3" bottom="0.3" header="0.1" footer="0.1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12.5600004196167" hidden="0" customWidth="1"/>
    <x:col min="3" max="3" width="20" hidden="0" customWidth="1"/>
    <x:col min="4" max="4" width="12.779999732971191" hidden="0" customWidth="1"/>
    <x:col min="5" max="5" width="12.220000267028809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40.5600013732910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3" t="str">
        <x:v>Private Fälligkeiten und angebotene Entwicklungsraten</x:v>
      </x:c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2"/>
      <x:c r="B6" s="13" t="str">
        <x:v>Rechnung</x:v>
      </x:c>
      <x:c r="C6" s="14" t="str">
        <x:v>Privatperson</x:v>
      </x:c>
      <x:c r="D6" s="14" t="str">
        <x:v>Rechnung EUR</x:v>
      </x:c>
      <x:c r="E6" s="14" t="str">
        <x:v>Gutschrift EUR</x:v>
      </x:c>
      <x:c r="F6" s="14" t="str">
        <x:v>Privat gezahlt EUR</x:v>
      </x:c>
      <x:c r="G6" s="14" t="str">
        <x:v>Offen EUR</x:v>
      </x:c>
      <x:c r="H6" s="14" t="str">
        <x:v>Fällig laut Beleg</x:v>
      </x:c>
      <x:c r="I6" s="15" t="str">
        <x:v>Quellen</x:v>
      </x:c>
    </x:row>
    <x:row r="7" ht="66" customHeight="1">
      <x:c r="A7" s="2"/>
      <x:c r="B7" s="22" t="str">
        <x:v>SF-A007</x:v>
      </x:c>
      <x:c r="C7" s="22" t="str">
        <x:v>Thekla Ben-Ami</x:v>
      </x:c>
      <x:c r="D7" s="23" t="n">
        <x:v>499.8</x:v>
      </x:c>
      <x:c r="E7" s="23" t="n">
        <x:v>0</x:v>
      </x:c>
      <x:c r="F7" s="23" t="n">
        <x:v>200</x:v>
      </x:c>
      <x:c r="G7" s="34" t="n">
        <x:f>ROUND(SUM(D7:E7)-F7,2)</x:f>
        <x:v>299.8</x:v>
      </x:c>
      <x:c r="H7" s="35" t="n">
        <x:v>46297</x:v>
      </x:c>
      <x:c r="I7" s="22" t="str">
        <x:v>60_07_Rechnung_SF-A007.pdf
135_Teilzahlung_SF-A019_Sprachkontor.pdf</x:v>
      </x:c>
    </x:row>
    <x:row r="8" ht="66" customHeight="1">
      <x:c r="A8" s="2"/>
      <x:c r="B8" s="22" t="str">
        <x:v>SF-A010</x:v>
      </x:c>
      <x:c r="C8" s="22" t="str">
        <x:v>Ottilie Kühnle</x:v>
      </x:c>
      <x:c r="D8" s="23" t="n">
        <x:v>214.2</x:v>
      </x:c>
      <x:c r="E8" s="23" t="n">
        <x:v>0</x:v>
      </x:c>
      <x:c r="F8" s="23" t="n">
        <x:v>214.2</x:v>
      </x:c>
      <x:c r="G8" s="34" t="n">
        <x:f>ROUND(SUM(D8:E8)-F8,2)</x:f>
        <x:v>0</x:v>
      </x:c>
      <x:c r="H8" s="35" t="n">
        <x:v>46300</x:v>
      </x:c>
      <x:c r="I8" s="22" t="str">
        <x:v>60_10_Rechnung_SF-A010.pdf
136_Zahlung_SF-A020_Bueroservice.pdf</x:v>
      </x:c>
    </x:row>
    <x:row r="9" ht="66" customHeight="1">
      <x:c r="A9" s="2"/>
      <x:c r="B9" s="22" t="str">
        <x:v>SF-A014</x:v>
      </x:c>
      <x:c r="C9" s="22" t="str">
        <x:v>Eberhard Demir</x:v>
      </x:c>
      <x:c r="D9" s="23" t="n">
        <x:v>499.8</x:v>
      </x:c>
      <x:c r="E9" s="23" t="n">
        <x:v>0</x:v>
      </x:c>
      <x:c r="F9" s="23" t="n">
        <x:v>250</x:v>
      </x:c>
      <x:c r="G9" s="34" t="n">
        <x:f>ROUND(SUM(D9:E9)-F9,2)</x:f>
        <x:v>249.8</x:v>
      </x:c>
      <x:c r="H9" s="35" t="n">
        <x:v>46302</x:v>
      </x:c>
      <x:c r="I9" s="22" t="str">
        <x:v>130_Rechnung_SF-A014_Werkraum.pdf
131_Teilzahlung_SF-A015_Werkraum.pdf</x:v>
      </x:c>
    </x:row>
    <x:row r="10" ht="66" customHeight="1">
      <x:c r="A10" s="2"/>
      <x:c r="B10" s="22" t="str">
        <x:v>SF-A021</x:v>
      </x:c>
      <x:c r="C10" s="22" t="str">
        <x:v>Wilhelmine Okafor</x:v>
      </x:c>
      <x:c r="D10" s="23" t="n">
        <x:v>85.68</x:v>
      </x:c>
      <x:c r="E10" s="23" t="n">
        <x:v>0</x:v>
      </x:c>
      <x:c r="F10" s="23" t="n">
        <x:v>0</x:v>
      </x:c>
      <x:c r="G10" s="34" t="n">
        <x:f>ROUND(SUM(D10:E10)-F10,2)</x:f>
        <x:v>85.68</x:v>
      </x:c>
      <x:c r="H10" s="35" t="n">
        <x:v>46304</x:v>
      </x:c>
      <x:c r="I10" s="22" t="str">
        <x:v>137_Rechnung_SF-A021_Formularsatz.pdf</x:v>
      </x:c>
    </x:row>
    <x:row r="11" ht="25" customHeight="1">
      <x:c r="A11" s="2"/>
      <x:c r="B11" s="2"/>
      <x:c r="C11" s="2"/>
      <x:c r="D11" s="2"/>
      <x:c r="E11" s="2"/>
      <x:c r="F11" s="2"/>
      <x:c r="G11" s="21"/>
      <x:c r="H11" s="2"/>
      <x:c r="I11" s="2"/>
    </x:row>
    <x:row r="12" ht="29" customHeight="1">
      <x:c r="A12" s="2"/>
      <x:c r="B12" s="40" t="str">
        <x:v>Offen gesamt</x:v>
      </x:c>
      <x:c r="C12" s="40"/>
      <x:c r="D12" s="40"/>
      <x:c r="E12" s="40"/>
      <x:c r="F12" s="40"/>
      <x:c r="G12" s="41" t="n">
        <x:f>SUM(G7:G10)</x:f>
        <x:v>635.28</x:v>
      </x:c>
      <x:c r="H12" s="40"/>
      <x:c r="I12" s="40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5" customHeight="1">
      <x:c r="A14" s="2"/>
      <x:c r="B14" s="25" t="str">
        <x:v>Die Rechnungsempfänger sind Privatpersonen. Kein Betrag ist als Verbindlichkeit einer gegründeten GmbH gebucht.</x:v>
      </x:c>
      <x:c r="C14" s="2"/>
      <x:c r="D14" s="2"/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5" customHeight="1">
      <x:c r="A16" s="2"/>
      <x:c r="B16" s="25" t="str">
        <x:v>Angebot Dornbusch vom 14.09.2026: 18.000,00 EUR netto zuzüglich 3.420,00 EUR USt. Kein bestätigter Auftrag.</x:v>
      </x:c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42" customHeight="1">
      <x:c r="A18" s="2"/>
      <x:c r="B18" s="13" t="str">
        <x:v>Termin</x:v>
      </x:c>
      <x:c r="C18" s="14" t="str">
        <x:v>Anteil</x:v>
      </x:c>
      <x:c r="D18" s="14" t="str">
        <x:v>Gesamt brutto EUR</x:v>
      </x:c>
      <x:c r="E18" s="14" t="str">
        <x:v>Rate brutto EUR</x:v>
      </x:c>
      <x:c r="F18" s="15" t="str">
        <x:v>Stand</x:v>
      </x:c>
      <x:c r="G18" s="2"/>
      <x:c r="H18" s="2"/>
      <x:c r="I18" s="2"/>
    </x:row>
    <x:row r="19" ht="25" customHeight="1">
      <x:c r="A19" s="2"/>
      <x:c r="B19" s="33" t="n">
        <x:v>46300</x:v>
      </x:c>
      <x:c r="C19" s="43" t="n">
        <x:v>0.4</x:v>
      </x:c>
      <x:c r="D19" s="19" t="n">
        <x:v>21420</x:v>
      </x:c>
      <x:c r="E19" s="32" t="n">
        <x:f>ROUND(C19*D19,2)</x:f>
        <x:v>8568</x:v>
      </x:c>
      <x:c r="F19" s="2" t="str">
        <x:v>Angebotsannahme</x:v>
      </x:c>
      <x:c r="G19" s="2"/>
      <x:c r="H19" s="2"/>
      <x:c r="I19" s="2"/>
    </x:row>
    <x:row r="20" ht="25" customHeight="1">
      <x:c r="A20" s="2"/>
      <x:c r="B20" s="33" t="n">
        <x:v>46328</x:v>
      </x:c>
      <x:c r="C20" s="43" t="n">
        <x:v>0.4</x:v>
      </x:c>
      <x:c r="D20" s="32" t="n">
        <x:f>$D$19</x:f>
        <x:v>21420</x:v>
      </x:c>
      <x:c r="E20" s="32" t="n">
        <x:f>ROUND(C20*D20,2)</x:f>
        <x:v>8568</x:v>
      </x:c>
      <x:c r="F20" s="2" t="str">
        <x:v>Angebotsannahme</x:v>
      </x:c>
      <x:c r="G20" s="2"/>
      <x:c r="H20" s="2"/>
      <x:c r="I20" s="2"/>
    </x:row>
    <x:row r="21" ht="25" customHeight="1">
      <x:c r="A21" s="2"/>
      <x:c r="B21" s="33" t="n">
        <x:v>46356</x:v>
      </x:c>
      <x:c r="C21" s="43" t="n">
        <x:v>0.2</x:v>
      </x:c>
      <x:c r="D21" s="32" t="n">
        <x:f>$D$19</x:f>
        <x:v>21420</x:v>
      </x:c>
      <x:c r="E21" s="32" t="n">
        <x:f>ROUND(C21*D21,2)</x:f>
        <x:v>4284</x:v>
      </x:c>
      <x:c r="F21" s="2" t="str">
        <x:v>Angebotsannahme</x:v>
      </x:c>
      <x:c r="G21" s="2"/>
      <x:c r="H21" s="2"/>
      <x:c r="I21" s="2"/>
    </x:row>
    <x:row r="22" ht="25" customHeight="1">
      <x:c r="A22" s="2"/>
      <x:c r="B22" s="2"/>
      <x:c r="C22" s="2"/>
      <x:c r="D22" s="21"/>
      <x:c r="E22" s="21"/>
      <x:c r="F22" s="2"/>
      <x:c r="G22" s="2"/>
      <x:c r="H22" s="2"/>
      <x:c r="I22" s="2"/>
    </x:row>
    <x:row r="23" ht="29" customHeight="1">
      <x:c r="A23" s="2"/>
      <x:c r="B23" s="40" t="str">
        <x:v>Gesamt</x:v>
      </x:c>
      <x:c r="C23" s="47" t="n">
        <x:f>SUM(C19:C21)</x:f>
        <x:v>1</x:v>
      </x:c>
      <x:c r="D23" s="41"/>
      <x:c r="E23" s="41" t="n">
        <x:f>SUM(E19:E21)</x:f>
        <x:v>21420</x:v>
      </x:c>
      <x:c r="F23" s="40"/>
      <x:c r="G23" s="2"/>
      <x:c r="H23" s="2"/>
      <x:c r="I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2"/>
      <x:c r="B25" s="25" t="str">
        <x:v>Quelle: 120_Entwicklungsangebot_Dornbusch_20260914.docx. Die Termine sind keine bestätigten Fälligkeiten.</x:v>
      </x:c>
      <x:c r="C25" s="2"/>
      <x:c r="D25" s="2"/>
      <x:c r="E25" s="2"/>
      <x:c r="F25" s="2"/>
      <x:c r="G25" s="2"/>
      <x:c r="H25" s="2"/>
      <x:c r="I25" s="2"/>
    </x:row>
    <x:row r="26" ht="25" customHeight="1">
      <x:c r="A26" s="2"/>
      <x:c r="B26" s="25" t="str">
        <x:v>Der erste Termin 05.10. liegt vor dem angefragten Notartermin 15.10. Eine Finanzierung ist dafür nicht zugesagt.</x:v>
      </x:c>
      <x:c r="C26" s="2"/>
      <x:c r="D26" s="2"/>
      <x:c r="E26" s="2"/>
      <x:c r="F26" s="2"/>
      <x:c r="G26" s="2"/>
      <x:c r="H26" s="2"/>
      <x:c r="I26" s="2"/>
    </x:row>
    <x:row r="27" ht="25" customHeight="1">
      <x:c r="A27" s="2"/>
      <x:c r="B27" s="25" t="str">
        <x:v>Eine Bestellung, ein anderer Zahlungstermin und die Zuordnung des Auftraggebers sind noch zu besprechen.</x:v>
      </x:c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5" t="str">
        <x:v>Der Budgetvergleich im Blatt Mittelverwendung zählt diese Raten nicht automatisch zur alten Datei 51 hinzu.</x:v>
      </x:c>
      <x:c r="C29" s="2"/>
      <x:c r="D29" s="2"/>
      <x:c r="E29" s="2"/>
      <x:c r="F29" s="2"/>
      <x:c r="G29" s="2"/>
      <x:c r="H29" s="2"/>
      <x:c r="I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conditionalFormatting sqref="G7:G10">
    <x:cfRule type="cellIs" dxfId="1" priority="1" operator="greaterThan">
      <x:formula>0</x:formula>
    </x:cfRule>
  </x:conditionalFormatting>
  <x:rowBreaks count="1" manualBreakCount="1">
    <x:brk id="15" min="0" max="16383" man="1"/>
  </x:rowBreaks>
  <x:pageMargins left="0.25" right="0.25" top="0.3" bottom="0.3" header="0.1" footer="0.1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41.11000061035156" hidden="0" customWidth="1"/>
    <x:col min="3" max="3" width="16.670000076293945" hidden="0" customWidth="1"/>
    <x:col min="4" max="4" width="16.670000076293945" hidden="0" customWidth="1"/>
    <x:col min="5" max="5" width="17.780000686645508" hidden="0" customWidth="1"/>
    <x:col min="6" max="6" width="17.780000686645508" hidden="0" customWidth="1"/>
    <x:col min="7" max="7" width="2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25" customHeight="1">
      <x:c r="A2" s="2"/>
      <x:c r="B2" s="3" t="str">
        <x:v>Seed-Budget und Abgleich des Entwicklungsangebots</x:v>
      </x:c>
      <x:c r="C2" s="2"/>
      <x:c r="D2" s="2"/>
      <x:c r="E2" s="2"/>
      <x:c r="F2" s="2"/>
      <x:c r="G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  <x:c r="G3" s="2"/>
    </x:row>
    <x:row r="4" ht="25" customHeight="1">
      <x:c r="A4" s="2"/>
      <x:c r="B4" s="4"/>
      <x:c r="C4" s="4"/>
      <x:c r="D4" s="4"/>
      <x:c r="E4" s="4"/>
      <x:c r="F4" s="4"/>
      <x:c r="G4" s="4"/>
    </x:row>
    <x:row r="5" ht="25" customHeight="1">
      <x:c r="A5" s="2"/>
      <x:c r="B5" s="2"/>
      <x:c r="C5" s="2"/>
      <x:c r="D5" s="2"/>
      <x:c r="E5" s="2"/>
      <x:c r="F5" s="2"/>
      <x:c r="G5" s="2"/>
    </x:row>
    <x:row r="6" ht="25" customHeight="1">
      <x:c r="A6" s="2"/>
      <x:c r="B6" s="2" t="str">
        <x:v>Seed-Zufluss, nur Plan</x:v>
      </x:c>
      <x:c r="C6" s="50" t="n">
        <x:f>'Finanzierung'!C8</x:f>
        <x:v>600000</x:v>
      </x:c>
      <x:c r="D6" s="2"/>
      <x:c r="E6" s="2"/>
      <x:c r="F6" s="2"/>
      <x:c r="G6" s="2"/>
    </x:row>
    <x:row r="7" ht="25" customHeight="1">
      <x:c r="A7" s="2"/>
      <x:c r="B7" s="2" t="str">
        <x:v>Auf Zwecke verteilt</x:v>
      </x:c>
      <x:c r="C7" s="32" t="n">
        <x:f>SUM(C13:C17)</x:f>
        <x:v>565000</x:v>
      </x:c>
      <x:c r="D7" s="2"/>
      <x:c r="E7" s="2"/>
      <x:c r="F7" s="2"/>
      <x:c r="G7" s="2"/>
    </x:row>
    <x:row r="8" ht="29" customHeight="1">
      <x:c r="A8" s="2"/>
      <x:c r="B8" s="40" t="str">
        <x:v>Noch nicht verteilte Reserve</x:v>
      </x:c>
      <x:c r="C8" s="41" t="n">
        <x:f>C6-C7</x:f>
        <x:v>35000</x:v>
      </x:c>
      <x:c r="D8" s="2"/>
      <x:c r="E8" s="2"/>
      <x:c r="F8" s="2"/>
      <x:c r="G8" s="2"/>
    </x:row>
    <x:row r="9" ht="25" customHeight="1">
      <x:c r="A9" s="2"/>
      <x:c r="B9" s="2" t="str">
        <x:v>Private Zahlungen, Freigabe offen</x:v>
      </x:c>
      <x:c r="C9" s="21" t="n">
        <x:v>3261.61</x:v>
      </x:c>
      <x:c r="D9" s="2"/>
      <x:c r="E9" s="2"/>
      <x:c r="F9" s="2"/>
      <x:c r="G9" s="2"/>
    </x:row>
    <x:row r="10" ht="25" customHeight="1">
      <x:c r="A10" s="2"/>
      <x:c r="B10" s="2" t="str">
        <x:v>Reserve bei Übernahme privater Zahlungen</x:v>
      </x:c>
      <x:c r="C10" s="32" t="n">
        <x:f>C8-C9</x:f>
        <x:v>31738.39</x:v>
      </x:c>
      <x:c r="D10" s="2"/>
      <x:c r="E10" s="2"/>
      <x:c r="F10" s="2"/>
      <x:c r="G10" s="2"/>
    </x:row>
    <x:row r="11" ht="25" customHeight="1">
      <x:c r="A11" s="2"/>
      <x:c r="B11" s="25" t="str">
        <x:v>Privater Stand aus 140_Nachgereichte_Auslagen_20260928.xlsx: 3.261,61 EUR. Keine Erstattung beschlossen.</x:v>
      </x:c>
      <x:c r="C11" s="2"/>
      <x:c r="D11" s="2"/>
      <x:c r="E11" s="2"/>
      <x:c r="F11" s="2"/>
      <x:c r="G11" s="2"/>
    </x:row>
    <x:row r="12" ht="42" customHeight="1">
      <x:c r="A12" s="2"/>
      <x:c r="B12" s="13" t="str">
        <x:v>Mittelverwendung</x:v>
      </x:c>
      <x:c r="C12" s="14" t="str">
        <x:v>Budget EUR</x:v>
      </x:c>
      <x:c r="D12" s="15" t="str">
        <x:v>Voraussetzung vor Freigabe</x:v>
      </x:c>
      <x:c r="E12" s="2"/>
      <x:c r="F12" s="2"/>
      <x:c r="G12" s="2"/>
    </x:row>
    <x:row r="13" ht="40" customHeight="1">
      <x:c r="A13" s="2"/>
      <x:c r="B13" s="22" t="str">
        <x:v>Stationärer Prüfstand und externe Entwicklungsleistungen</x:v>
      </x:c>
      <x:c r="C13" s="19" t="n">
        <x:v>280000</x:v>
      </x:c>
      <x:c r="D13" s="22" t="str">
        <x:v>Nach freigegebenem Leistungsumfang und Rechtenachweis</x:v>
      </x:c>
      <x:c r="E13" s="22"/>
      <x:c r="F13" s="22"/>
      <x:c r="G13" s="22"/>
    </x:row>
    <x:row r="14" ht="40" customHeight="1">
      <x:c r="A14" s="2"/>
      <x:c r="B14" s="22" t="str">
        <x:v>Produktprüfung, Versicherungsberatung und Marktversuchsplanung</x:v>
      </x:c>
      <x:c r="C14" s="19" t="n">
        <x:v>95000</x:v>
      </x:c>
      <x:c r="D14" s="22" t="str">
        <x:v>Nach konkreten Angeboten; keine Zulassung unterstellt</x:v>
      </x:c>
      <x:c r="E14" s="22"/>
      <x:c r="F14" s="22"/>
      <x:c r="G14" s="22"/>
    </x:row>
    <x:row r="15" ht="40" customHeight="1">
      <x:c r="A15" s="2"/>
      <x:c r="B15" s="22" t="str">
        <x:v>Geschäftsführer und weitere Mitarbeit</x:v>
      </x:c>
      <x:c r="C15" s="19" t="n">
        <x:v>120000</x:v>
      </x:c>
      <x:c r="D15" s="22" t="str">
        <x:v>Nach Verträgen und geklärten Vergütungsnebenkosten</x:v>
      </x:c>
      <x:c r="E15" s="22"/>
      <x:c r="F15" s="22"/>
      <x:c r="G15" s="22"/>
    </x:row>
    <x:row r="16" ht="40" customHeight="1">
      <x:c r="A16" s="2"/>
      <x:c r="B16" s="22" t="str">
        <x:v>Raum, Software und laufende Infrastruktur</x:v>
      </x:c>
      <x:c r="C16" s="19" t="n">
        <x:v>45000</x:v>
      </x:c>
      <x:c r="D16" s="22" t="str">
        <x:v>Nach freigegebenen Verträgen; laufende Pflichten erfassen</x:v>
      </x:c>
      <x:c r="E16" s="22"/>
      <x:c r="F16" s="22"/>
      <x:c r="G16" s="22"/>
    </x:row>
    <x:row r="17" ht="40" customHeight="1">
      <x:c r="A17" s="2"/>
      <x:c r="B17" s="22" t="str">
        <x:v>Verhandlung, Gründungskosten und laufende Beratung</x:v>
      </x:c>
      <x:c r="C17" s="19" t="n">
        <x:v>25000</x:v>
      </x:c>
      <x:c r="D17" s="22" t="str">
        <x:v>Nach Beauftragung und Zuordnung des Kostenschuldners</x:v>
      </x:c>
      <x:c r="E17" s="22"/>
      <x:c r="F17" s="22"/>
      <x:c r="G17" s="22"/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25" customHeight="1">
      <x:c r="A19" s="2"/>
      <x:c r="B19" s="25" t="str">
        <x:v>Ottilies erste Aufteilung vom 28.09., 14:20 Uhr. Eine Zweckbindung oder Freigabe des Investors liegt nicht vor.</x:v>
      </x:c>
      <x:c r="C19" s="2"/>
      <x:c r="D19" s="2"/>
      <x:c r="E19" s="2"/>
      <x:c r="F19" s="2"/>
      <x:c r="G19" s="2"/>
    </x:row>
    <x:row r="20" ht="25" customHeight="1">
      <x:c r="A20" s="2"/>
      <x:c r="B20" s="25" t="str">
        <x:v>Die offene private Restschuld von 635,28 EUR ist ebenfalls nicht in die Zwecke eingerechnet.</x:v>
      </x:c>
      <x:c r="C20" s="2"/>
      <x:c r="D20" s="2"/>
      <x:c r="E20" s="2"/>
      <x:c r="F20" s="2"/>
      <x:c r="G20" s="2"/>
    </x:row>
    <x:row r="21" ht="25" customHeight="1">
      <x:c r="A21" s="2"/>
      <x:c r="B21" s="25" t="str">
        <x:v>Die Seed-Verteilung ist keine neue Sechsmonatsplanung. Datei 51 bleibt deren separater Stand von 08:40 Uhr.</x:v>
      </x:c>
      <x:c r="C21" s="2"/>
      <x:c r="D21" s="2"/>
      <x:c r="E21" s="2"/>
      <x:c r="F21" s="2"/>
      <x:c r="G21" s="2"/>
    </x:row>
    <x:row r="22" ht="25" customHeight="1">
      <x:c r="A22" s="2"/>
      <x:c r="B22" s="2"/>
      <x:c r="C22" s="2"/>
      <x:c r="D22" s="2"/>
      <x:c r="E22" s="2"/>
      <x:c r="F22" s="2"/>
      <x:c r="G22" s="2"/>
    </x:row>
    <x:row r="23" ht="25" customHeight="1">
      <x:c r="A23" s="2"/>
      <x:c r="B23" s="2"/>
      <x:c r="C23" s="2"/>
      <x:c r="D23" s="2"/>
      <x:c r="E23" s="2"/>
      <x:c r="F23" s="2"/>
      <x:c r="G23" s="2"/>
    </x:row>
    <x:row r="24" ht="42" customHeight="1">
      <x:c r="A24" s="2"/>
      <x:c r="B24" s="13" t="str">
        <x:v>Monat</x:v>
      </x:c>
      <x:c r="C24" s="14" t="str">
        <x:v>Prototypen 51 EUR</x:v>
      </x:c>
      <x:c r="D24" s="14" t="str">
        <x:v>Dienstleistungen 51 EUR</x:v>
      </x:c>
      <x:c r="E24" s="14" t="str">
        <x:v>Zusammen 51 EUR</x:v>
      </x:c>
      <x:c r="F24" s="14" t="str">
        <x:v>Angebotsraten EUR</x:v>
      </x:c>
      <x:c r="G24" s="15" t="str">
        <x:v>Angebot minus Budget EUR</x:v>
      </x:c>
    </x:row>
    <x:row r="25" ht="25" customHeight="1">
      <x:c r="A25" s="2"/>
      <x:c r="B25" s="51" t="n">
        <x:v>46296</x:v>
      </x:c>
      <x:c r="C25" s="19" t="n">
        <x:v>5500</x:v>
      </x:c>
      <x:c r="D25" s="19" t="n">
        <x:v>3570</x:v>
      </x:c>
      <x:c r="E25" s="32" t="n">
        <x:f>SUM(C25:D25)</x:f>
        <x:v>9070</x:v>
      </x:c>
      <x:c r="F25" s="50" t="n">
        <x:f>'Fälligkeiten'!E19</x:f>
        <x:v>8568</x:v>
      </x:c>
      <x:c r="G25" s="32" t="n">
        <x:f>F25-E25</x:f>
        <x:v>-502</x:v>
      </x:c>
    </x:row>
    <x:row r="26" ht="25" customHeight="1">
      <x:c r="A26" s="2"/>
      <x:c r="B26" s="51" t="n">
        <x:v>46327</x:v>
      </x:c>
      <x:c r="C26" s="19" t="n">
        <x:v>4200</x:v>
      </x:c>
      <x:c r="D26" s="19" t="n">
        <x:v>1785</x:v>
      </x:c>
      <x:c r="E26" s="32" t="n">
        <x:f>SUM(C26:D26)</x:f>
        <x:v>5985</x:v>
      </x:c>
      <x:c r="F26" s="50" t="n">
        <x:f>SUM('Fälligkeiten'!E20:E21)</x:f>
        <x:v>12852</x:v>
      </x:c>
      <x:c r="G26" s="32" t="n">
        <x:f>F26-E26</x:f>
        <x:v>6867</x:v>
      </x:c>
    </x:row>
    <x:row r="27" ht="25" customHeight="1">
      <x:c r="A27" s="2"/>
      <x:c r="B27" s="2"/>
      <x:c r="C27" s="2"/>
      <x:c r="D27" s="2"/>
      <x:c r="E27" s="21"/>
      <x:c r="F27" s="21"/>
      <x:c r="G27" s="21"/>
    </x:row>
    <x:row r="28" ht="29" customHeight="1">
      <x:c r="A28" s="2"/>
      <x:c r="B28" s="40" t="str">
        <x:v>Oktober und November</x:v>
      </x:c>
      <x:c r="C28" s="41" t="n">
        <x:f>SUM(C25:C26)</x:f>
        <x:v>9700</x:v>
      </x:c>
      <x:c r="D28" s="41" t="n">
        <x:f>SUM(D25:D26)</x:f>
        <x:v>5355</x:v>
      </x:c>
      <x:c r="E28" s="41" t="n">
        <x:f>SUM(E25:E26)</x:f>
        <x:v>15055</x:v>
      </x:c>
      <x:c r="F28" s="41" t="n">
        <x:f>SUM(F25:F26)</x:f>
        <x:v>21420</x:v>
      </x:c>
      <x:c r="G28" s="41" t="n">
        <x:f>SUM(G25:G26)</x:f>
        <x:v>6365</x:v>
      </x:c>
    </x:row>
    <x:row r="29" ht="25" customHeight="1">
      <x:c r="A29" s="2"/>
      <x:c r="B29" s="2"/>
      <x:c r="C29" s="2"/>
      <x:c r="D29" s="2"/>
      <x:c r="E29" s="2"/>
      <x:c r="F29" s="2"/>
      <x:c r="G29" s="2"/>
    </x:row>
    <x:row r="30" ht="25" customHeight="1">
      <x:c r="A30" s="2"/>
      <x:c r="B30" s="25" t="str">
        <x:v>Quelle Altbudget: 51_Auslagen_und_Liquiditaetsplanung.xlsx, Annahmen Oktober und November 2026.</x:v>
      </x:c>
      <x:c r="C30" s="2"/>
      <x:c r="D30" s="2"/>
      <x:c r="E30" s="2"/>
      <x:c r="F30" s="2"/>
      <x:c r="G30" s="2"/>
    </x:row>
    <x:row r="31" ht="25" customHeight="1">
      <x:c r="A31" s="2"/>
      <x:c r="B31" s="25" t="str">
        <x:v>Der Vergleich unterstellt nur für die Gegenüberstellung denselben Leistungsrahmen. Die Überschneidung ist offen.</x:v>
      </x:c>
      <x:c r="C31" s="2"/>
      <x:c r="D31" s="2"/>
      <x:c r="E31" s="2"/>
      <x:c r="F31" s="2"/>
      <x:c r="G31" s="2"/>
    </x:row>
    <x:row r="32" ht="25" customHeight="1">
      <x:c r="A32" s="2"/>
      <x:c r="B32" s="25" t="str">
        <x:v>Die Differenz darf nicht als zusätzliche Bestellung oder als automatische Kürzung des übrigen Budgets gelesen werden.</x:v>
      </x:c>
      <x:c r="C32" s="2"/>
      <x:c r="D32" s="2"/>
      <x:c r="E32" s="2"/>
      <x:c r="F32" s="2"/>
      <x:c r="G32" s="2"/>
    </x:row>
    <x:row r="33" ht="25" customHeight="1">
      <x:c r="A33" s="2"/>
      <x:c r="B33" s="25" t="str">
        <x:v>Die interne Preisvorstellung und der Angebotsumfang sollen vor einer Bestellung abgestimmt werden.</x:v>
      </x:c>
      <x:c r="C33" s="2"/>
      <x:c r="D33" s="2"/>
      <x:c r="E33" s="2"/>
      <x:c r="F33" s="2"/>
      <x:c r="G33" s="2"/>
    </x:row>
    <x:row r="34" ht="25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2"/>
      <x:c r="B35" s="2"/>
      <x:c r="C35" s="2"/>
      <x:c r="D35" s="2"/>
      <x:c r="E35" s="2"/>
      <x:c r="F35" s="2"/>
      <x:c r="G35" s="2"/>
    </x:row>
    <x:row r="36" ht="25" customHeight="1">
      <x:c r="A36" s="2"/>
      <x:c r="B36" s="2"/>
      <x:c r="C36" s="2"/>
      <x:c r="D36" s="2"/>
      <x:c r="E36" s="2"/>
      <x:c r="F36" s="2"/>
      <x:c r="G36" s="2"/>
    </x:row>
    <x:row r="37" ht="25" customHeight="1">
      <x:c r="A37" s="2"/>
      <x:c r="B37" s="2"/>
      <x:c r="C37" s="2"/>
      <x:c r="D37" s="2"/>
      <x:c r="E37" s="2"/>
      <x:c r="F37" s="2"/>
      <x:c r="G37" s="2"/>
    </x:row>
  </x:sheetData>
  <x:mergeCells>
    <x:mergeCell ref="D13:G13"/>
    <x:mergeCell ref="D14:G14"/>
    <x:mergeCell ref="D15:G15"/>
    <x:mergeCell ref="D16:G16"/>
    <x:mergeCell ref="D17:G17"/>
  </x:mergeCells>
  <x:conditionalFormatting sqref="G25:G26">
    <x:cfRule type="cellIs" dxfId="2" priority="1" operator="greaterThan">
      <x:formula>0</x:formula>
    </x:cfRule>
  </x:conditionalFormatting>
  <x:rowBreaks count="1" manualBreakCount="1">
    <x:brk id="17" min="0" max="16383" man="1"/>
  </x:rowBreaks>
  <x:pageMargins left="0.25" right="0.25" top="0.3" bottom="0.3" header="0.1" footer="0.1"/>
  <x:pageSetup paperSize="9" orientation="landscape" fitToWidth="1" fitToHeight="0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Ottilie Kühnle</dc:creator>
  <cp:lastModifiedBy>Ottilie Kühnle</cp:lastModifiedBy>
  <dc:title>141_Finanzierungsbedingungen_und_Faelligkeiten</dc:title>
  <dcterms:created xsi:type="dcterms:W3CDTF">2026-09-28T12:20:00Z</dcterms:created>
  <dcterms:modified xsi:type="dcterms:W3CDTF">2026-09-28T12:20:00Z</dcterms:modified>
</cp:coreProperties>
</file>