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7121e1949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quidität" sheetId="1" r:id="Rd2c4b708f1af4fd8"/>
    <x:sheet xmlns:r="http://schemas.openxmlformats.org/officeDocument/2006/relationships" name="Auslagen" sheetId="2" r:id="Rfdccad0b39a94e0b"/>
    <x:sheet xmlns:r="http://schemas.openxmlformats.org/officeDocument/2006/relationships" name="Annahmen" sheetId="3" r:id="Rc0a3b8a5ff2e4c48"/>
  </x:sheets>
  <x:definedNames>
    <x:definedName name="_xlnm.Print_Area" localSheetId="0">'Liquidität'!$B$2:$H$36</x:definedName>
    <x:definedName name="_xlnm.Print_Area" localSheetId="1">'Auslagen'!$B$2:$L$33</x:definedName>
    <x:definedName name="_xlnm.Print_Area" localSheetId="2">'Annahmen'!$B$2:$H$43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–&quot;"/>
    <x:numFmt numFmtId="201" formatCode="dd&quot;.&quot;mm&quot;.&quot;yyyy"/>
    <x:numFmt numFmtId="202" formatCode="mmm-yy"/>
    <x:numFmt numFmtId="203" formatCode="0.00%;(0.00%);&quot;–&quot;"/>
  </x:numFmts>
  <x:fonts count="8">
    <x:font>
      <x:sz val="11"/>
      <x:name val="Carlito"/>
    </x:font>
    <x:font>
      <x:sz val="11"/>
      <x:color rgb="FF1D2833"/>
      <x:name val="Arial"/>
    </x:font>
    <x:font>
      <x:b/>
      <x:sz val="16"/>
      <x:color rgb="FF234769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174FC0"/>
      <x:name val="Arial"/>
    </x:font>
    <x:font>
      <x:b/>
      <x:sz val="11"/>
      <x:color rgb="FF1D2833"/>
      <x:name val="Arial"/>
    </x:font>
    <x:font>
      <x:sz val="11"/>
      <x:color rgb="FF17653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4769"/>
      </x:patternFill>
    </x:fill>
    <x:fill>
      <x:patternFill patternType="solid">
        <x:fgColor rgb="FFFFF3C4"/>
      </x:patternFill>
    </x:fill>
    <x:fill>
      <x:patternFill patternType="solid">
        <x:fgColor rgb="FFEEF3F8"/>
      </x:patternFill>
    </x:fill>
  </x:fills>
  <x:borders count="6">
    <x:border/>
    <x:border>
      <x:bottom style="thin">
        <x:color rgb="FF23476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234769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200" fontId="6" fillId="4" borderId="5" xfId="0" applyNumberFormat="1" applyFont="1" applyFill="1" applyBorder="1" applyAlignment="1">
      <x:alignment vertical="center"/>
    </x:xf>
    <x:xf numFmtId="200" fontId="6" fillId="4" borderId="5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2" fontId="3" fillId="2" borderId="3" xfId="0" applyNumberFormat="1" applyFont="1" applyFill="1" applyBorder="1" applyAlignment="1">
      <x:alignment horizontal="center" vertical="center" wrapText="1"/>
    </x:xf>
    <x:xf numFmtId="202" fontId="3" fillId="2" borderId="4" xfId="0" applyNumberFormat="1" applyFont="1" applyFill="1" applyBorder="1" applyAlignment="1">
      <x:alignment horizontal="center" vertical="center" wrapText="1"/>
    </x:xf>
    <x:xf numFmtId="203" fontId="5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4" fillId="4" borderId="0" xfId="0" applyNumberFormat="1" applyFont="1" applyFill="1" applyBorder="1" applyAlignment="1">
      <x:alignment horizontal="right" vertical="center"/>
    </x:xf>
    <x:xf numFmtId="200" fontId="6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9C2634"/>
      </x:font>
      <x:fill>
        <x:patternFill patternType="solid">
          <x:bgColor rgb="FFFB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d709f2d584962" /><Relationship Type="http://schemas.openxmlformats.org/officeDocument/2006/relationships/theme" Target="/xl/theme/theme1.xml" Id="Re8362502c43e47dc" /><Relationship Type="http://schemas.openxmlformats.org/officeDocument/2006/relationships/sharedStrings" Target="/xl/sharedStrings.xml" Id="Rbaa9deb373de407b" /><Relationship Type="http://schemas.openxmlformats.org/officeDocument/2006/relationships/worksheet" Target="/xl/worksheets/sheet1.xml" Id="Rd2c4b708f1af4fd8" /><Relationship Type="http://schemas.openxmlformats.org/officeDocument/2006/relationships/worksheet" Target="/xl/worksheets/sheet2.xml" Id="Rfdccad0b39a94e0b" /><Relationship Type="http://schemas.openxmlformats.org/officeDocument/2006/relationships/worksheet" Target="/xl/worksheets/sheet3.xml" Id="Rc0a3b8a5ff2e4c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769"/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43.33000183105469" hidden="0" customWidth="1"/>
    <x:col min="3" max="3" width="16.110000610351562" hidden="0" customWidth="1"/>
    <x:col min="4" max="4" width="16.110000610351562" hidden="0" customWidth="1"/>
    <x:col min="5" max="5" width="16.110000610351562" hidden="0" customWidth="1"/>
    <x:col min="6" max="6" width="16.110000610351562" hidden="0" customWidth="1"/>
    <x:col min="7" max="7" width="16.110000610351562" hidden="0" customWidth="1"/>
    <x:col min="8" max="8" width="16.11000061035156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3" t="str">
        <x:v>Schnittflug: Liquiditätsplan bis März 2027</x:v>
      </x:c>
      <x:c r="C2" s="2"/>
      <x:c r="D2" s="2"/>
      <x:c r="E2" s="2"/>
      <x:c r="F2" s="2"/>
      <x:c r="G2" s="2"/>
      <x:c r="H2" s="2"/>
    </x:row>
    <x:row r="3" ht="24" customHeight="1">
      <x:c r="A3" s="2"/>
      <x:c r="B3" s="2" t="str">
        <x:v>Stand 28.09.2026. Ottilie Kühnle. Nicht vollzogene Planung.</x:v>
      </x:c>
      <x:c r="C3" s="2"/>
      <x:c r="D3" s="2"/>
      <x:c r="E3" s="2"/>
      <x:c r="F3" s="2"/>
      <x:c r="G3" s="2"/>
      <x:c r="H3" s="2"/>
    </x:row>
    <x:row r="4" ht="25" customHeight="1">
      <x:c r="A4" s="2"/>
      <x:c r="B4" s="4"/>
      <x:c r="C4" s="4"/>
      <x:c r="D4" s="4"/>
      <x:c r="E4" s="4"/>
      <x:c r="F4" s="4"/>
      <x:c r="G4" s="4"/>
      <x:c r="H4" s="4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40" customHeight="1">
      <x:c r="A6" s="2"/>
      <x:c r="B6" s="13" t="str">
        <x:v>Geplanter Geldfluss in EUR</x:v>
      </x:c>
      <x:c r="C6" s="34" t="n">
        <x:v>46296</x:v>
      </x:c>
      <x:c r="D6" s="34" t="n">
        <x:v>46327</x:v>
      </x:c>
      <x:c r="E6" s="34" t="n">
        <x:v>46357</x:v>
      </x:c>
      <x:c r="F6" s="34" t="n">
        <x:v>46388</x:v>
      </x:c>
      <x:c r="G6" s="34" t="n">
        <x:v>46419</x:v>
      </x:c>
      <x:c r="H6" s="35" t="n">
        <x:v>46447</x:v>
      </x:c>
    </x:row>
    <x:row r="7" ht="25" customHeight="1">
      <x:c r="A7" s="2"/>
      <x:c r="B7" s="2" t="str">
        <x:v>Anfangsbestand</x:v>
      </x:c>
      <x:c r="C7" s="41" t="n">
        <x:v>0</x:v>
      </x:c>
      <x:c r="D7" s="21" t="n">
        <x:f>C27</x:f>
        <x:v>8666</x:v>
      </x:c>
      <x:c r="E7" s="21" t="n">
        <x:f>D27</x:f>
        <x:v>-175</x:v>
      </x:c>
      <x:c r="F7" s="21" t="n">
        <x:f>E27</x:f>
        <x:v>-8911</x:v>
      </x:c>
      <x:c r="G7" s="21" t="n">
        <x:f>F27</x:f>
        <x:v>-24564</x:v>
      </x:c>
      <x:c r="H7" s="21" t="n">
        <x:f>G27</x:f>
        <x:v>-40217</x:v>
      </x:c>
    </x:row>
    <x:row r="8" ht="25" customHeight="1">
      <x:c r="A8" s="2"/>
      <x:c r="B8" s="2"/>
      <x:c r="C8" s="41"/>
      <x:c r="D8" s="41"/>
      <x:c r="E8" s="41"/>
      <x:c r="F8" s="41"/>
      <x:c r="G8" s="41"/>
      <x:c r="H8" s="41"/>
    </x:row>
    <x:row r="9" ht="25" customHeight="1">
      <x:c r="A9" s="2"/>
      <x:c r="B9" s="2" t="str">
        <x:v>Stammeinlagen, geplant</x:v>
      </x:c>
      <x:c r="C9" s="40" t="n">
        <x:f>'Annahmen'!C7</x:f>
        <x:v>25000</x:v>
      </x:c>
      <x:c r="D9" s="40" t="n">
        <x:f>'Annahmen'!D7</x:f>
        <x:v>0</x:v>
      </x:c>
      <x:c r="E9" s="40" t="n">
        <x:f>'Annahmen'!E7</x:f>
        <x:v>0</x:v>
      </x:c>
      <x:c r="F9" s="40" t="n">
        <x:f>'Annahmen'!F7</x:f>
        <x:v>0</x:v>
      </x:c>
      <x:c r="G9" s="40" t="n">
        <x:f>'Annahmen'!G7</x:f>
        <x:v>0</x:v>
      </x:c>
      <x:c r="H9" s="40" t="n">
        <x:f>'Annahmen'!H7</x:f>
        <x:v>0</x:v>
      </x:c>
    </x:row>
    <x:row r="10" ht="25" customHeight="1">
      <x:c r="A10" s="2"/>
      <x:c r="B10" s="2" t="str">
        <x:v>Weitere Finanzierung, geplant</x:v>
      </x:c>
      <x:c r="C10" s="40" t="n">
        <x:f>'Annahmen'!C8</x:f>
        <x:v>0</x:v>
      </x:c>
      <x:c r="D10" s="40" t="n">
        <x:f>'Annahmen'!D8</x:f>
        <x:v>0</x:v>
      </x:c>
      <x:c r="E10" s="40" t="n">
        <x:f>'Annahmen'!E8</x:f>
        <x:v>0</x:v>
      </x:c>
      <x:c r="F10" s="40" t="n">
        <x:f>'Annahmen'!F8</x:f>
        <x:v>0</x:v>
      </x:c>
      <x:c r="G10" s="40" t="n">
        <x:f>'Annahmen'!G8</x:f>
        <x:v>0</x:v>
      </x:c>
      <x:c r="H10" s="40" t="n">
        <x:f>'Annahmen'!H8</x:f>
        <x:v>0</x:v>
      </x:c>
    </x:row>
    <x:row r="11" ht="28" customHeight="1">
      <x:c r="A11" s="2"/>
      <x:c r="B11" s="30" t="str">
        <x:v>Finanzierung gesamt</x:v>
      </x:c>
      <x:c r="C11" s="32" t="n">
        <x:f>SUM(C9:C10)</x:f>
        <x:v>25000</x:v>
      </x:c>
      <x:c r="D11" s="32" t="n">
        <x:f>SUM(D9:D10)</x:f>
        <x:v>0</x:v>
      </x:c>
      <x:c r="E11" s="32" t="n">
        <x:f>SUM(E9:E10)</x:f>
        <x:v>0</x:v>
      </x:c>
      <x:c r="F11" s="32" t="n">
        <x:f>SUM(F9:F10)</x:f>
        <x:v>0</x:v>
      </x:c>
      <x:c r="G11" s="32" t="n">
        <x:f>SUM(G9:G10)</x:f>
        <x:v>0</x:v>
      </x:c>
      <x:c r="H11" s="32" t="n">
        <x:f>SUM(H9:H10)</x:f>
        <x:v>0</x:v>
      </x:c>
    </x:row>
    <x:row r="12" ht="25" customHeight="1">
      <x:c r="A12" s="2"/>
      <x:c r="B12" s="2"/>
      <x:c r="C12" s="41"/>
      <x:c r="D12" s="41"/>
      <x:c r="E12" s="41"/>
      <x:c r="F12" s="41"/>
      <x:c r="G12" s="41"/>
      <x:c r="H12" s="41"/>
    </x:row>
    <x:row r="13" ht="25" customHeight="1">
      <x:c r="A13" s="2"/>
      <x:c r="B13" s="2" t="str">
        <x:v>Werkraum und Betrieb</x:v>
      </x:c>
      <x:c r="C13" s="40" t="n">
        <x:f>'Annahmen'!C10</x:f>
        <x:v>1428</x:v>
      </x:c>
      <x:c r="D13" s="40" t="n">
        <x:f>'Annahmen'!D10</x:f>
        <x:v>1428</x:v>
      </x:c>
      <x:c r="E13" s="40" t="n">
        <x:f>'Annahmen'!E10</x:f>
        <x:v>1428</x:v>
      </x:c>
      <x:c r="F13" s="40" t="n">
        <x:f>'Annahmen'!F10</x:f>
        <x:v>1428</x:v>
      </x:c>
      <x:c r="G13" s="40" t="n">
        <x:f>'Annahmen'!G10</x:f>
        <x:v>1428</x:v>
      </x:c>
      <x:c r="H13" s="40" t="n">
        <x:f>'Annahmen'!H10</x:f>
        <x:v>1428</x:v>
      </x:c>
    </x:row>
    <x:row r="14" ht="25" customHeight="1">
      <x:c r="A14" s="2"/>
      <x:c r="B14" s="2" t="str">
        <x:v>Prüfstand und Bauteile</x:v>
      </x:c>
      <x:c r="C14" s="40" t="n">
        <x:f>'Annahmen'!C11</x:f>
        <x:v>5500</x:v>
      </x:c>
      <x:c r="D14" s="40" t="n">
        <x:f>'Annahmen'!D11</x:f>
        <x:v>4200</x:v>
      </x:c>
      <x:c r="E14" s="40" t="n">
        <x:f>'Annahmen'!E11</x:f>
        <x:v>3500</x:v>
      </x:c>
      <x:c r="F14" s="40" t="n">
        <x:f>'Annahmen'!F11</x:f>
        <x:v>2500</x:v>
      </x:c>
      <x:c r="G14" s="40" t="n">
        <x:f>'Annahmen'!G11</x:f>
        <x:v>2500</x:v>
      </x:c>
      <x:c r="H14" s="40" t="n">
        <x:f>'Annahmen'!H11</x:f>
        <x:v>1800</x:v>
      </x:c>
    </x:row>
    <x:row r="15" ht="25" customHeight="1">
      <x:c r="A15" s="2"/>
      <x:c r="B15" s="2" t="str">
        <x:v>Externe Leistungen</x:v>
      </x:c>
      <x:c r="C15" s="40" t="n">
        <x:f>'Annahmen'!C12</x:f>
        <x:v>3570</x:v>
      </x:c>
      <x:c r="D15" s="40" t="n">
        <x:f>'Annahmen'!D12</x:f>
        <x:v>1785</x:v>
      </x:c>
      <x:c r="E15" s="40" t="n">
        <x:f>'Annahmen'!E12</x:f>
        <x:v>2380</x:v>
      </x:c>
      <x:c r="F15" s="40" t="n">
        <x:f>'Annahmen'!F12</x:f>
        <x:v>1190</x:v>
      </x:c>
      <x:c r="G15" s="40" t="n">
        <x:f>'Annahmen'!G12</x:f>
        <x:v>1190</x:v>
      </x:c>
      <x:c r="H15" s="40" t="n">
        <x:f>'Annahmen'!H12</x:f>
        <x:v>1190</x:v>
      </x:c>
    </x:row>
    <x:row r="16" ht="25" customHeight="1">
      <x:c r="A16" s="2"/>
      <x:c r="B16" s="2" t="str">
        <x:v>Software und Rechenzeit</x:v>
      </x:c>
      <x:c r="C16" s="40" t="n">
        <x:f>'Annahmen'!C13</x:f>
        <x:v>714</x:v>
      </x:c>
      <x:c r="D16" s="40" t="n">
        <x:f>'Annahmen'!D13</x:f>
        <x:v>714</x:v>
      </x:c>
      <x:c r="E16" s="40" t="n">
        <x:f>'Annahmen'!E13</x:f>
        <x:v>714</x:v>
      </x:c>
      <x:c r="F16" s="40" t="n">
        <x:f>'Annahmen'!F13</x:f>
        <x:v>952</x:v>
      </x:c>
      <x:c r="G16" s="40" t="n">
        <x:f>'Annahmen'!G13</x:f>
        <x:v>952</x:v>
      </x:c>
      <x:c r="H16" s="40" t="n">
        <x:f>'Annahmen'!H13</x:f>
        <x:v>952</x:v>
      </x:c>
    </x:row>
    <x:row r="17" ht="25" customHeight="1">
      <x:c r="A17" s="2"/>
      <x:c r="B17" s="2" t="str">
        <x:v>Geschäftsführervergütungen brutto</x:v>
      </x:c>
      <x:c r="C17" s="40" t="n">
        <x:f>'Annahmen'!C14</x:f>
        <x:v>0</x:v>
      </x:c>
      <x:c r="D17" s="40" t="n">
        <x:f>'Annahmen'!D14</x:f>
        <x:v>0</x:v>
      </x:c>
      <x:c r="E17" s="40" t="n">
        <x:f>'Annahmen'!E14</x:f>
        <x:v>0</x:v>
      </x:c>
      <x:c r="F17" s="40" t="n">
        <x:f>'Annahmen'!F14</x:f>
        <x:v>7000</x:v>
      </x:c>
      <x:c r="G17" s="40" t="n">
        <x:f>'Annahmen'!G14</x:f>
        <x:v>7000</x:v>
      </x:c>
      <x:c r="H17" s="40" t="n">
        <x:f>'Annahmen'!H14</x:f>
        <x:v>7000</x:v>
      </x:c>
    </x:row>
    <x:row r="18" ht="25" customHeight="1">
      <x:c r="A18" s="2"/>
      <x:c r="B18" s="2" t="str">
        <x:v>Reserve Vergütungsnebenkosten</x:v>
      </x:c>
      <x:c r="C18" s="40" t="n">
        <x:f>'Annahmen'!C15</x:f>
        <x:v>0</x:v>
      </x:c>
      <x:c r="D18" s="40" t="n">
        <x:f>'Annahmen'!D15</x:f>
        <x:v>0</x:v>
      </x:c>
      <x:c r="E18" s="40" t="n">
        <x:f>'Annahmen'!E15</x:f>
        <x:v>0</x:v>
      </x:c>
      <x:c r="F18" s="40" t="n">
        <x:f>'Annahmen'!F15</x:f>
        <x:v>1750</x:v>
      </x:c>
      <x:c r="G18" s="40" t="n">
        <x:f>'Annahmen'!G15</x:f>
        <x:v>1750</x:v>
      </x:c>
      <x:c r="H18" s="40" t="n">
        <x:f>'Annahmen'!H15</x:f>
        <x:v>1750</x:v>
      </x:c>
    </x:row>
    <x:row r="19" ht="25" customHeight="1">
      <x:c r="A19" s="2"/>
      <x:c r="B19" s="2" t="str">
        <x:v>Sonstige Auszahlungen</x:v>
      </x:c>
      <x:c r="C19" s="40" t="n">
        <x:f>'Annahmen'!C16</x:f>
        <x:v>3808</x:v>
      </x:c>
      <x:c r="D19" s="40" t="n">
        <x:f>'Annahmen'!D16</x:f>
        <x:v>714</x:v>
      </x:c>
      <x:c r="E19" s="40" t="n">
        <x:f>'Annahmen'!E16</x:f>
        <x:v>714</x:v>
      </x:c>
      <x:c r="F19" s="40" t="n">
        <x:f>'Annahmen'!F16</x:f>
        <x:v>833</x:v>
      </x:c>
      <x:c r="G19" s="40" t="n">
        <x:f>'Annahmen'!G16</x:f>
        <x:v>833</x:v>
      </x:c>
      <x:c r="H19" s="40" t="n">
        <x:f>'Annahmen'!H16</x:f>
        <x:v>833</x:v>
      </x:c>
    </x:row>
    <x:row r="20" ht="25" customHeight="1">
      <x:c r="A20" s="2"/>
      <x:c r="B20" s="2" t="str">
        <x:v>Erstattung privater Auslagen, angenommen</x:v>
      </x:c>
      <x:c r="C20" s="40" t="n">
        <x:f>'Auslagen'!F26*'Annahmen'!C18</x:f>
        <x:v>0</x:v>
      </x:c>
      <x:c r="D20" s="40" t="n">
        <x:f>'Auslagen'!F26*'Annahmen'!D18</x:f>
        <x:v>0</x:v>
      </x:c>
      <x:c r="E20" s="40" t="n">
        <x:f>'Auslagen'!F26*'Annahmen'!E18</x:f>
        <x:v>0</x:v>
      </x:c>
      <x:c r="F20" s="40" t="n">
        <x:f>'Auslagen'!F26*'Annahmen'!F18</x:f>
        <x:v>0</x:v>
      </x:c>
      <x:c r="G20" s="40" t="n">
        <x:f>'Auslagen'!F26*'Annahmen'!G18</x:f>
        <x:v>0</x:v>
      </x:c>
      <x:c r="H20" s="40" t="n">
        <x:f>'Auslagen'!F26*'Annahmen'!H18</x:f>
        <x:v>0</x:v>
      </x:c>
    </x:row>
    <x:row r="21" ht="25" customHeight="1">
      <x:c r="A21" s="2"/>
      <x:c r="B21" s="2" t="str">
        <x:v>Übernahme unbezahlter Altbelege, angenommen</x:v>
      </x:c>
      <x:c r="C21" s="40" t="n">
        <x:f>'Annahmen'!C20</x:f>
        <x:v>713.9999999999995</x:v>
      </x:c>
      <x:c r="D21" s="40" t="n">
        <x:f>'Annahmen'!D20</x:f>
        <x:v>0</x:v>
      </x:c>
      <x:c r="E21" s="40" t="n">
        <x:f>'Annahmen'!E20</x:f>
        <x:v>0</x:v>
      </x:c>
      <x:c r="F21" s="40" t="n">
        <x:f>'Annahmen'!F20</x:f>
        <x:v>0</x:v>
      </x:c>
      <x:c r="G21" s="40" t="n">
        <x:f>'Annahmen'!G20</x:f>
        <x:v>0</x:v>
      </x:c>
      <x:c r="H21" s="40" t="n">
        <x:f>'Annahmen'!H20</x:f>
        <x:v>0</x:v>
      </x:c>
    </x:row>
    <x:row r="22" ht="25" customHeight="1">
      <x:c r="A22" s="2"/>
      <x:c r="B22" s="2" t="str">
        <x:v>Kaution Raum, geplant</x:v>
      </x:c>
      <x:c r="C22" s="40" t="n">
        <x:f>'Annahmen'!C17</x:f>
        <x:v>600</x:v>
      </x:c>
      <x:c r="D22" s="40" t="n">
        <x:f>'Annahmen'!D17</x:f>
        <x:v>0</x:v>
      </x:c>
      <x:c r="E22" s="40" t="n">
        <x:f>'Annahmen'!E17</x:f>
        <x:v>0</x:v>
      </x:c>
      <x:c r="F22" s="40" t="n">
        <x:f>'Annahmen'!F17</x:f>
        <x:v>0</x:v>
      </x:c>
      <x:c r="G22" s="40" t="n">
        <x:f>'Annahmen'!G17</x:f>
        <x:v>0</x:v>
      </x:c>
      <x:c r="H22" s="40" t="n">
        <x:f>'Annahmen'!H17</x:f>
        <x:v>0</x:v>
      </x:c>
    </x:row>
    <x:row r="23" ht="28" customHeight="1">
      <x:c r="A23" s="2"/>
      <x:c r="B23" s="30" t="str">
        <x:v>Auszahlungen gesamt</x:v>
      </x:c>
      <x:c r="C23" s="32" t="n">
        <x:f>SUM(C13:C22)</x:f>
        <x:v>16334</x:v>
      </x:c>
      <x:c r="D23" s="32" t="n">
        <x:f>SUM(D13:D22)</x:f>
        <x:v>8841</x:v>
      </x:c>
      <x:c r="E23" s="32" t="n">
        <x:f>SUM(E13:E22)</x:f>
        <x:v>8736</x:v>
      </x:c>
      <x:c r="F23" s="32" t="n">
        <x:f>SUM(F13:F22)</x:f>
        <x:v>15653</x:v>
      </x:c>
      <x:c r="G23" s="32" t="n">
        <x:f>SUM(G13:G22)</x:f>
        <x:v>15653</x:v>
      </x:c>
      <x:c r="H23" s="32" t="n">
        <x:f>SUM(H13:H22)</x:f>
        <x:v>14953</x:v>
      </x:c>
    </x:row>
    <x:row r="24" ht="25" customHeight="1">
      <x:c r="A24" s="2"/>
      <x:c r="B24" s="2"/>
      <x:c r="C24" s="41"/>
      <x:c r="D24" s="41"/>
      <x:c r="E24" s="41"/>
      <x:c r="F24" s="41"/>
      <x:c r="G24" s="41"/>
      <x:c r="H24" s="41"/>
    </x:row>
    <x:row r="25" ht="25" customHeight="1">
      <x:c r="A25" s="2"/>
      <x:c r="B25" s="2" t="str">
        <x:v>Monatlicher Überschuss / Fehlbetrag</x:v>
      </x:c>
      <x:c r="C25" s="21" t="n">
        <x:f>C11-C23</x:f>
        <x:v>8666</x:v>
      </x:c>
      <x:c r="D25" s="21" t="n">
        <x:f>D11-D23</x:f>
        <x:v>-8841</x:v>
      </x:c>
      <x:c r="E25" s="21" t="n">
        <x:f>E11-E23</x:f>
        <x:v>-8736</x:v>
      </x:c>
      <x:c r="F25" s="21" t="n">
        <x:f>F11-F23</x:f>
        <x:v>-15653</x:v>
      </x:c>
      <x:c r="G25" s="21" t="n">
        <x:f>G11-G23</x:f>
        <x:v>-15653</x:v>
      </x:c>
      <x:c r="H25" s="21" t="n">
        <x:f>H11-H23</x:f>
        <x:v>-14953</x:v>
      </x:c>
    </x:row>
    <x:row r="26" ht="25" customHeight="1">
      <x:c r="A26" s="2"/>
      <x:c r="B26" s="2"/>
      <x:c r="C26" s="41"/>
      <x:c r="D26" s="41"/>
      <x:c r="E26" s="41"/>
      <x:c r="F26" s="41"/>
      <x:c r="G26" s="41"/>
      <x:c r="H26" s="41"/>
    </x:row>
    <x:row r="27" ht="28" customHeight="1">
      <x:c r="A27" s="2"/>
      <x:c r="B27" s="30" t="str">
        <x:v>Rechnerischer Endbestand</x:v>
      </x:c>
      <x:c r="C27" s="32" t="n">
        <x:f>SUM(C7,C25)</x:f>
        <x:v>8666</x:v>
      </x:c>
      <x:c r="D27" s="32" t="n">
        <x:f>SUM(D7,D25)</x:f>
        <x:v>-175</x:v>
      </x:c>
      <x:c r="E27" s="32" t="n">
        <x:f>SUM(E7,E25)</x:f>
        <x:v>-8911</x:v>
      </x:c>
      <x:c r="F27" s="32" t="n">
        <x:f>SUM(F7,F25)</x:f>
        <x:v>-24564</x:v>
      </x:c>
      <x:c r="G27" s="32" t="n">
        <x:f>SUM(G7,G25)</x:f>
        <x:v>-40217</x:v>
      </x:c>
      <x:c r="H27" s="32" t="n">
        <x:f>SUM(H7,H25)</x:f>
        <x:v>-55170</x:v>
      </x:c>
    </x:row>
    <x:row r="28" ht="25" customHeight="1">
      <x:c r="A28" s="2"/>
      <x:c r="B28" s="2"/>
      <x:c r="C28" s="41"/>
      <x:c r="D28" s="41"/>
      <x:c r="E28" s="41"/>
      <x:c r="F28" s="41"/>
      <x:c r="G28" s="41"/>
      <x:c r="H28" s="41"/>
    </x:row>
    <x:row r="29" ht="28" customHeight="1">
      <x:c r="A29" s="2"/>
      <x:c r="B29" s="30" t="str">
        <x:v>Nicht gedeckter Finanzbedarf</x:v>
      </x:c>
      <x:c r="C29" s="32" t="n">
        <x:f>MAX(0,-C27)</x:f>
        <x:v>0</x:v>
      </x:c>
      <x:c r="D29" s="32" t="n">
        <x:f>MAX(0,-D27)</x:f>
        <x:v>175</x:v>
      </x:c>
      <x:c r="E29" s="32" t="n">
        <x:f>MAX(0,-E27)</x:f>
        <x:v>8911</x:v>
      </x:c>
      <x:c r="F29" s="32" t="n">
        <x:f>MAX(0,-F27)</x:f>
        <x:v>24564</x:v>
      </x:c>
      <x:c r="G29" s="32" t="n">
        <x:f>MAX(0,-G27)</x:f>
        <x:v>40217</x:v>
      </x:c>
      <x:c r="H29" s="32" t="n">
        <x:f>MAX(0,-H27)</x:f>
        <x:v>55170</x:v>
      </x:c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</x:row>
    <x:row r="32" ht="36" customHeight="1">
      <x:c r="A32" s="2"/>
      <x:c r="B32" s="23" t="str">
        <x:v>Negative Endbestände zeigen ungedeckten Bedarf, keinen bewilligten Kontokorrentkredit. Vor Auslösung weiterer Bestellungen ist die Finanzierung zu klären.</x:v>
      </x:c>
      <x:c r="C32" s="23"/>
      <x:c r="D32" s="23"/>
      <x:c r="E32" s="23"/>
      <x:c r="F32" s="23"/>
      <x:c r="G32" s="23"/>
      <x:c r="H32" s="23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  <x:row r="34" ht="36" customHeight="1">
      <x:c r="A34" s="2"/>
      <x:c r="B34" s="23" t="str">
        <x:v>Gründung und Finanzierung sind geplant. Zum 28.09.2026 existiert kein eröffnetes Gesellschaftskonto und keine eingezahlte Stammeinlage.</x:v>
      </x:c>
      <x:c r="C34" s="23"/>
      <x:c r="D34" s="23"/>
      <x:c r="E34" s="23"/>
      <x:c r="F34" s="23"/>
      <x:c r="G34" s="23"/>
      <x:c r="H34" s="23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</x:row>
    <x:row r="36" ht="36" customHeight="1">
      <x:c r="A36" s="2"/>
      <x:c r="B36" s="23" t="str">
        <x:v>Die Reserve zu Geschäftsführerbezügen ist nur ein Budgetposten. Ottilies sozialversicherungsrechtlicher Status und die Vergütungsverträge bleiben gesondert zu klären.</x:v>
      </x:c>
      <x:c r="C36" s="23"/>
      <x:c r="D36" s="23"/>
      <x:c r="E36" s="23"/>
      <x:c r="F36" s="23"/>
      <x:c r="G36" s="23"/>
      <x:c r="H36" s="23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</x:sheetData>
  <x:mergeCells>
    <x:mergeCell ref="B32:H32"/>
    <x:mergeCell ref="B34:H34"/>
    <x:mergeCell ref="B36:H36"/>
  </x:mergeCells>
  <x:conditionalFormatting sqref="C27:H27">
    <x:cfRule type="cellIs" dxfId="0" priority="1" operator="lessThan">
      <x:formula>0</x:formula>
    </x:cfRule>
  </x:conditionalFormatting>
  <x:pageMargins left="0.25" right="0.25" top="0.35" bottom="0.35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tabColor rgb="FF234769"/>
    <x:pageSetUpPr fitToPage="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2.779999732971191" hidden="0" customWidth="1"/>
    <x:col min="3" max="3" width="11.670000076293945" hidden="0" customWidth="1"/>
    <x:col min="4" max="4" width="26.670000076293945" hidden="0" customWidth="1"/>
    <x:col min="5" max="5" width="20" hidden="0" customWidth="1"/>
    <x:col min="6" max="6" width="13.890000343322754" hidden="0" customWidth="1"/>
    <x:col min="7" max="7" width="13.890000343322754" hidden="0" customWidth="1"/>
    <x:col min="8" max="8" width="13.890000343322754" hidden="0" customWidth="1"/>
    <x:col min="9" max="9" width="17.219999313354492" hidden="0" customWidth="1"/>
    <x:col min="10" max="10" width="14.4399995803833" hidden="0" customWidth="1"/>
    <x:col min="11" max="11" width="16.110000610351562" hidden="0" customWidth="1"/>
    <x:col min="12" max="12" width="32.220001220703125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2"/>
      <x:c r="B2" s="3" t="str">
        <x:v>Schnittflug: private Auslagen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 t="str">
        <x:v>Stand 28.09.2026. Privatbelege vor Beurkundung. Keine Gesellschaftszahlungen.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0" customHeight="1">
      <x:c r="A6" s="2"/>
      <x:c r="B6" s="13" t="str">
        <x:v>Beleg-ID</x:v>
      </x:c>
      <x:c r="C6" s="14" t="str">
        <x:v>Datum</x:v>
      </x:c>
      <x:c r="D6" s="14" t="str">
        <x:v>Lieferant</x:v>
      </x:c>
      <x:c r="E6" s="14" t="str">
        <x:v>Empfänger / Person</x:v>
      </x:c>
      <x:c r="F6" s="14" t="str">
        <x:v>Netto EUR</x:v>
      </x:c>
      <x:c r="G6" s="14" t="str">
        <x:v>USt. EUR</x:v>
      </x:c>
      <x:c r="H6" s="14" t="str">
        <x:v>Brutto EUR</x:v>
      </x:c>
      <x:c r="I6" s="14" t="str">
        <x:v>Privatfluss EUR</x:v>
      </x:c>
      <x:c r="J6" s="14" t="str">
        <x:v>Bezahlt am</x:v>
      </x:c>
      <x:c r="K6" s="14" t="str">
        <x:v>Status</x:v>
      </x:c>
      <x:c r="L6" s="15" t="str">
        <x:v>Datei</x:v>
      </x:c>
    </x:row>
    <x:row r="7" ht="48" customHeight="1">
      <x:c r="A7" s="2"/>
      <x:c r="B7" s="23" t="str">
        <x:v>SF-A001</x:v>
      </x:c>
      <x:c r="C7" s="24" t="n">
        <x:v>46258</x:v>
      </x:c>
      <x:c r="D7" s="23" t="str">
        <x:v>Wolkenfaden Hosting GmbH</x:v>
      </x:c>
      <x:c r="E7" s="23" t="str">
        <x:v>Ottilie Kühnle</x:v>
      </x:c>
      <x:c r="F7" s="25" t="n">
        <x:v>11.9</x:v>
      </x:c>
      <x:c r="G7" s="25" t="n">
        <x:v>2.26</x:v>
      </x:c>
      <x:c r="H7" s="26" t="n">
        <x:f>SUM(F7:G7)</x:f>
        <x:v>14.16</x:v>
      </x:c>
      <x:c r="I7" s="26" t="n">
        <x:f>H7</x:f>
        <x:v>14.16</x:v>
      </x:c>
      <x:c r="J7" s="24" t="n">
        <x:v>46258</x:v>
      </x:c>
      <x:c r="K7" s="23" t="str">
        <x:v>Privat bezahlt</x:v>
      </x:c>
      <x:c r="L7" s="23" t="str">
        <x:v>60_01_Rechnung_SF-A001.pdf</x:v>
      </x:c>
    </x:row>
    <x:row r="8" ht="48" customHeight="1">
      <x:c r="A8" s="2"/>
      <x:c r="B8" s="23" t="str">
        <x:v>SF-A002</x:v>
      </x:c>
      <x:c r="C8" s="24" t="n">
        <x:v>46262</x:v>
      </x:c>
      <x:c r="D8" s="23" t="str">
        <x:v>Amboß Werkraum GmbH</x:v>
      </x:c>
      <x:c r="E8" s="23" t="str">
        <x:v>Eberhard Demir</x:v>
      </x:c>
      <x:c r="F8" s="25" t="n">
        <x:v>300</x:v>
      </x:c>
      <x:c r="G8" s="25" t="n">
        <x:v>57</x:v>
      </x:c>
      <x:c r="H8" s="26" t="n">
        <x:f>SUM(F8:G8)</x:f>
        <x:v>357</x:v>
      </x:c>
      <x:c r="I8" s="26" t="n">
        <x:f>H8</x:f>
        <x:v>357</x:v>
      </x:c>
      <x:c r="J8" s="24" t="n">
        <x:v>46264</x:v>
      </x:c>
      <x:c r="K8" s="23" t="str">
        <x:v>Privat bezahlt</x:v>
      </x:c>
      <x:c r="L8" s="23" t="str">
        <x:v>60_02_Rechnung_SF-A002.pdf</x:v>
      </x:c>
    </x:row>
    <x:row r="9" ht="48" customHeight="1">
      <x:c r="A9" s="2"/>
      <x:c r="B9" s="23" t="str">
        <x:v>SF-A003</x:v>
      </x:c>
      <x:c r="C9" s="24" t="n">
        <x:v>46266</x:v>
      </x:c>
      <x:c r="D9" s="23" t="str">
        <x:v>Friedoline Modellbedarf GmbH</x:v>
      </x:c>
      <x:c r="E9" s="23" t="str">
        <x:v>Nepomuk Huber</x:v>
      </x:c>
      <x:c r="F9" s="25" t="n">
        <x:v>180</x:v>
      </x:c>
      <x:c r="G9" s="25" t="n">
        <x:v>34.2</x:v>
      </x:c>
      <x:c r="H9" s="26" t="n">
        <x:f>SUM(F9:G9)</x:f>
        <x:v>214.2</x:v>
      </x:c>
      <x:c r="I9" s="26" t="n">
        <x:f>H9</x:f>
        <x:v>214.2</x:v>
      </x:c>
      <x:c r="J9" s="24" t="n">
        <x:v>46266</x:v>
      </x:c>
      <x:c r="K9" s="23" t="str">
        <x:v>Privat bezahlt</x:v>
      </x:c>
      <x:c r="L9" s="23" t="str">
        <x:v>60_03_Rechnung_SF-A003.pdf</x:v>
      </x:c>
    </x:row>
    <x:row r="10" ht="48" customHeight="1">
      <x:c r="A10" s="2"/>
      <x:c r="B10" s="23" t="str">
        <x:v>SF-A004</x:v>
      </x:c>
      <x:c r="C10" s="24" t="n">
        <x:v>46269</x:v>
      </x:c>
      <x:c r="D10" s="23" t="str">
        <x:v>Ottokar Lichtblick Optik GmbH</x:v>
      </x:c>
      <x:c r="E10" s="23" t="str">
        <x:v>Kunigunde Nguyen</x:v>
      </x:c>
      <x:c r="F10" s="25" t="n">
        <x:v>790</x:v>
      </x:c>
      <x:c r="G10" s="25" t="n">
        <x:v>150.1</x:v>
      </x:c>
      <x:c r="H10" s="26" t="n">
        <x:f>SUM(F10:G10)</x:f>
        <x:v>940.1</x:v>
      </x:c>
      <x:c r="I10" s="26" t="n">
        <x:f>H10</x:f>
        <x:v>940.1</x:v>
      </x:c>
      <x:c r="J10" s="24" t="n">
        <x:v>46270</x:v>
      </x:c>
      <x:c r="K10" s="23" t="str">
        <x:v>Privat bezahlt</x:v>
      </x:c>
      <x:c r="L10" s="23" t="str">
        <x:v>60_04_Rechnung_SF-A004.pdf</x:v>
      </x:c>
    </x:row>
    <x:row r="11" ht="48" customHeight="1">
      <x:c r="A11" s="2"/>
      <x:c r="B11" s="23" t="str">
        <x:v>SF-A005</x:v>
      </x:c>
      <x:c r="C11" s="24" t="n">
        <x:v>46272</x:v>
      </x:c>
      <x:c r="D11" s="23" t="str">
        <x:v>Traugott Rapidform GmbH</x:v>
      </x:c>
      <x:c r="E11" s="23" t="str">
        <x:v>Alois Rossi</x:v>
      </x:c>
      <x:c r="F11" s="25" t="n">
        <x:v>260</x:v>
      </x:c>
      <x:c r="G11" s="25" t="n">
        <x:v>49.4</x:v>
      </x:c>
      <x:c r="H11" s="26" t="n">
        <x:f>SUM(F11:G11)</x:f>
        <x:v>309.4</x:v>
      </x:c>
      <x:c r="I11" s="26" t="n">
        <x:f>H11</x:f>
        <x:v>309.4</x:v>
      </x:c>
      <x:c r="J11" s="24" t="n">
        <x:v>46273</x:v>
      </x:c>
      <x:c r="K11" s="23" t="str">
        <x:v>Privat bezahlt</x:v>
      </x:c>
      <x:c r="L11" s="23" t="str">
        <x:v>60_05_Rechnung_SF-A005.pdf</x:v>
      </x:c>
    </x:row>
    <x:row r="12" ht="48" customHeight="1">
      <x:c r="A12" s="2"/>
      <x:c r="B12" s="23" t="str">
        <x:v>SF-A006</x:v>
      </x:c>
      <x:c r="C12" s="24" t="n">
        <x:v>46274</x:v>
      </x:c>
      <x:c r="D12" s="23" t="str">
        <x:v>Poldi Werksoftware GmbH</x:v>
      </x:c>
      <x:c r="E12" s="23" t="str">
        <x:v>Alois Rossi</x:v>
      </x:c>
      <x:c r="F12" s="25" t="n">
        <x:v>129</x:v>
      </x:c>
      <x:c r="G12" s="25" t="n">
        <x:v>24.51</x:v>
      </x:c>
      <x:c r="H12" s="26" t="n">
        <x:f>SUM(F12:G12)</x:f>
        <x:v>153.51</x:v>
      </x:c>
      <x:c r="I12" s="26" t="n">
        <x:f>H12</x:f>
        <x:v>153.51</x:v>
      </x:c>
      <x:c r="J12" s="24" t="n">
        <x:v>46274</x:v>
      </x:c>
      <x:c r="K12" s="23" t="str">
        <x:v>Privat bezahlt</x:v>
      </x:c>
      <x:c r="L12" s="23" t="str">
        <x:v>60_06_Rechnung_SF-A006.pdf</x:v>
      </x:c>
    </x:row>
    <x:row r="13" ht="48" customHeight="1">
      <x:c r="A13" s="2"/>
      <x:c r="B13" s="23" t="str">
        <x:v>SF-A007</x:v>
      </x:c>
      <x:c r="C13" s="24" t="n">
        <x:v>46277</x:v>
      </x:c>
      <x:c r="D13" s="23" t="str">
        <x:v>Gundel Sprachkontor GmbH</x:v>
      </x:c>
      <x:c r="E13" s="23" t="str">
        <x:v>Thekla Ben-Ami</x:v>
      </x:c>
      <x:c r="F13" s="25" t="n">
        <x:v>420</x:v>
      </x:c>
      <x:c r="G13" s="25" t="n">
        <x:v>79.8</x:v>
      </x:c>
      <x:c r="H13" s="26" t="n">
        <x:f>SUM(F13:G13)</x:f>
        <x:v>499.8</x:v>
      </x:c>
      <x:c r="I13" s="26" t="n">
        <x:f>0</x:f>
        <x:v>0</x:v>
      </x:c>
      <x:c r="J13" s="24"/>
      <x:c r="K13" s="23" t="str">
        <x:v>Unbezahlt</x:v>
      </x:c>
      <x:c r="L13" s="23" t="str">
        <x:v>60_07_Rechnung_SF-A007.pdf</x:v>
      </x:c>
    </x:row>
    <x:row r="14" ht="48" customHeight="1">
      <x:c r="A14" s="2"/>
      <x:c r="B14" s="23" t="str">
        <x:v>SF-A008</x:v>
      </x:c>
      <x:c r="C14" s="24" t="n">
        <x:v>46279</x:v>
      </x:c>
      <x:c r="D14" s="23" t="str">
        <x:v>Hildegard Tusch Design GmbH</x:v>
      </x:c>
      <x:c r="E14" s="23" t="str">
        <x:v>Wilhelmine Okafor</x:v>
      </x:c>
      <x:c r="F14" s="25" t="n">
        <x:v>189</x:v>
      </x:c>
      <x:c r="G14" s="25" t="n">
        <x:v>35.91</x:v>
      </x:c>
      <x:c r="H14" s="26" t="n">
        <x:f>SUM(F14:G14)</x:f>
        <x:v>224.91</x:v>
      </x:c>
      <x:c r="I14" s="26" t="n">
        <x:f>H14</x:f>
        <x:v>224.91</x:v>
      </x:c>
      <x:c r="J14" s="24" t="n">
        <x:v>46281</x:v>
      </x:c>
      <x:c r="K14" s="23" t="str">
        <x:v>Privat bezahlt</x:v>
      </x:c>
      <x:c r="L14" s="23" t="str">
        <x:v>60_08_Rechnung_SF-A008.pdf</x:v>
      </x:c>
    </x:row>
    <x:row r="15" ht="48" customHeight="1">
      <x:c r="A15" s="2"/>
      <x:c r="B15" s="23" t="str">
        <x:v>SF-A009</x:v>
      </x:c>
      <x:c r="C15" s="24" t="n">
        <x:v>46283</x:v>
      </x:c>
      <x:c r="D15" s="23" t="str">
        <x:v>Funkel Kontor Rechenzentrum GmbH</x:v>
      </x:c>
      <x:c r="E15" s="23" t="str">
        <x:v>Kunigunde Nguyen</x:v>
      </x:c>
      <x:c r="F15" s="25" t="n">
        <x:v>65</x:v>
      </x:c>
      <x:c r="G15" s="25" t="n">
        <x:v>12.35</x:v>
      </x:c>
      <x:c r="H15" s="26" t="n">
        <x:f>SUM(F15:G15)</x:f>
        <x:v>77.35</x:v>
      </x:c>
      <x:c r="I15" s="26" t="n">
        <x:f>H15</x:f>
        <x:v>77.35</x:v>
      </x:c>
      <x:c r="J15" s="24" t="n">
        <x:v>46283</x:v>
      </x:c>
      <x:c r="K15" s="23" t="str">
        <x:v>Privat bezahlt</x:v>
      </x:c>
      <x:c r="L15" s="23" t="str">
        <x:v>60_09_Rechnung_SF-A009.pdf</x:v>
      </x:c>
    </x:row>
    <x:row r="16" ht="48" customHeight="1">
      <x:c r="A16" s="2"/>
      <x:c r="B16" s="23" t="str">
        <x:v>SF-A010</x:v>
      </x:c>
      <x:c r="C16" s="24" t="n">
        <x:v>46286</x:v>
      </x:c>
      <x:c r="D16" s="23" t="str">
        <x:v>Baldur Büroservice GmbH</x:v>
      </x:c>
      <x:c r="E16" s="23" t="str">
        <x:v>Ottilie Kühnle</x:v>
      </x:c>
      <x:c r="F16" s="25" t="n">
        <x:v>180</x:v>
      </x:c>
      <x:c r="G16" s="25" t="n">
        <x:v>34.2</x:v>
      </x:c>
      <x:c r="H16" s="26" t="n">
        <x:f>SUM(F16:G16)</x:f>
        <x:v>214.2</x:v>
      </x:c>
      <x:c r="I16" s="26" t="n">
        <x:f>0</x:f>
        <x:v>0</x:v>
      </x:c>
      <x:c r="J16" s="24"/>
      <x:c r="K16" s="23" t="str">
        <x:v>Unbezahlt</x:v>
      </x:c>
      <x:c r="L16" s="23" t="str">
        <x:v>60_10_Rechnung_SF-A010.pdf</x:v>
      </x:c>
    </x:row>
    <x:row r="17" ht="48" customHeight="1">
      <x:c r="A17" s="2"/>
      <x:c r="B17" s="23" t="str">
        <x:v>SF-A011</x:v>
      </x:c>
      <x:c r="C17" s="24" t="n">
        <x:v>46287</x:v>
      </x:c>
      <x:c r="D17" s="23" t="str">
        <x:v>Traugott Rapidform GmbH</x:v>
      </x:c>
      <x:c r="E17" s="23" t="str">
        <x:v>Alois Rossi</x:v>
      </x:c>
      <x:c r="F17" s="25" t="n">
        <x:v>-26</x:v>
      </x:c>
      <x:c r="G17" s="25" t="n">
        <x:v>-4.94</x:v>
      </x:c>
      <x:c r="H17" s="26" t="n">
        <x:f>SUM(F17:G17)</x:f>
        <x:v>-30.94</x:v>
      </x:c>
      <x:c r="I17" s="26" t="n">
        <x:f>H17</x:f>
        <x:v>-30.94</x:v>
      </x:c>
      <x:c r="J17" s="24" t="n">
        <x:v>46289</x:v>
      </x:c>
      <x:c r="K17" s="23" t="str">
        <x:v>Privat erstattet</x:v>
      </x:c>
      <x:c r="L17" s="23" t="str">
        <x:v>61_01_Gutschrift_SF-A011.pdf</x:v>
      </x:c>
    </x:row>
    <x:row r="18" ht="48" customHeight="1">
      <x:c r="A18" s="2"/>
      <x:c r="B18" s="23" t="str">
        <x:v>SF-A012</x:v>
      </x:c>
      <x:c r="C18" s="24" t="n">
        <x:v>46290</x:v>
      </x:c>
      <x:c r="D18" s="23" t="str">
        <x:v>Amboß Werkraum GmbH</x:v>
      </x:c>
      <x:c r="E18" s="23" t="str">
        <x:v>Ottilie Kühnle</x:v>
      </x:c>
      <x:c r="F18" s="25" t="n">
        <x:v>98</x:v>
      </x:c>
      <x:c r="G18" s="25" t="n">
        <x:v>18.62</x:v>
      </x:c>
      <x:c r="H18" s="26" t="n">
        <x:f>SUM(F18:G18)</x:f>
        <x:v>116.62</x:v>
      </x:c>
      <x:c r="I18" s="26" t="n">
        <x:f>H18</x:f>
        <x:v>116.62</x:v>
      </x:c>
      <x:c r="J18" s="24" t="n">
        <x:v>46290</x:v>
      </x:c>
      <x:c r="K18" s="23" t="str">
        <x:v>Privat bezahlt</x:v>
      </x:c>
      <x:c r="L18" s="23" t="str">
        <x:v>60_11_Rechnung_SF-A012.pdf</x:v>
      </x:c>
    </x:row>
    <x:row r="19" ht="48" customHeight="1">
      <x:c r="A19" s="2"/>
      <x:c r="B19" s="23" t="str">
        <x:v>SF-A013</x:v>
      </x:c>
      <x:c r="C19" s="24" t="n">
        <x:v>46288</x:v>
      </x:c>
      <x:c r="D19" s="23" t="str">
        <x:v>Pankratz Lieferwerk GmbH</x:v>
      </x:c>
      <x:c r="E19" s="23" t="str">
        <x:v>Eberhard Demir</x:v>
      </x:c>
      <x:c r="F19" s="25" t="n">
        <x:v>15.9</x:v>
      </x:c>
      <x:c r="G19" s="25" t="n">
        <x:v>3.02</x:v>
      </x:c>
      <x:c r="H19" s="26" t="n">
        <x:f>SUM(F19:G19)</x:f>
        <x:v>18.92</x:v>
      </x:c>
      <x:c r="I19" s="26" t="n">
        <x:f>H19</x:f>
        <x:v>18.92</x:v>
      </x:c>
      <x:c r="J19" s="24" t="n">
        <x:v>46288</x:v>
      </x:c>
      <x:c r="K19" s="23" t="str">
        <x:v>Privat bezahlt</x:v>
      </x:c>
      <x:c r="L19" s="23" t="str">
        <x:v>60_12_Rechnung_SF-A013.pdf</x:v>
      </x:c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8" customHeight="1">
      <x:c r="A21" s="2"/>
      <x:c r="B21" s="30" t="str">
        <x:v>Gesamt</x:v>
      </x:c>
      <x:c r="C21" s="30"/>
      <x:c r="D21" s="30"/>
      <x:c r="E21" s="30"/>
      <x:c r="F21" s="32" t="n">
        <x:f>SUM(F7:F19)</x:f>
        <x:v>2612.8</x:v>
      </x:c>
      <x:c r="G21" s="32" t="n">
        <x:f>SUM(G7:G19)</x:f>
        <x:v>496.42999999999995</x:v>
      </x:c>
      <x:c r="H21" s="32" t="n">
        <x:f>SUM(H7:H19)</x:f>
        <x:v>3109.2299999999996</x:v>
      </x:c>
      <x:c r="I21" s="32" t="n">
        <x:f>SUM(I7:I19)</x:f>
        <x:v>2395.23</x:v>
      </x:c>
      <x:c r="J21" s="30"/>
      <x:c r="K21" s="30"/>
      <x:c r="L21" s="30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 t="str">
        <x:v>Noch unbezahlt (EUR)</x:v>
      </x:c>
      <x:c r="C24" s="2"/>
      <x:c r="D24" s="2"/>
      <x:c r="E24" s="2"/>
      <x:c r="F24" s="21" t="n">
        <x:f>H21-I21</x:f>
        <x:v>713.9999999999995</x:v>
      </x:c>
      <x:c r="G24" s="2"/>
      <x:c r="H24" s="2"/>
      <x:c r="I24" s="2"/>
      <x:c r="J24" s="2"/>
      <x:c r="K24" s="2"/>
      <x:c r="L24" s="2"/>
    </x:row>
    <x:row r="25" ht="25" customHeight="1">
      <x:c r="A25" s="2"/>
      <x:c r="B25" s="2" t="str">
        <x:v>Erstattungen durch Gesellschaft (EUR)</x:v>
      </x:c>
      <x:c r="C25" s="2"/>
      <x:c r="D25" s="2"/>
      <x:c r="E25" s="2"/>
      <x:c r="F25" s="33" t="n">
        <x:v>0</x:v>
      </x:c>
      <x:c r="G25" s="2"/>
      <x:c r="H25" s="2"/>
      <x:c r="I25" s="2"/>
      <x:c r="J25" s="2"/>
      <x:c r="K25" s="2"/>
      <x:c r="L25" s="2"/>
    </x:row>
    <x:row r="26" ht="25" customHeight="1">
      <x:c r="A26" s="2"/>
      <x:c r="B26" s="2" t="str">
        <x:v>Privat finanziert, noch nicht erstattet (EUR)</x:v>
      </x:c>
      <x:c r="C26" s="2"/>
      <x:c r="D26" s="2"/>
      <x:c r="E26" s="2"/>
      <x:c r="F26" s="21" t="n">
        <x:f>I21-F25</x:f>
        <x:v>2395.23</x:v>
      </x:c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36" customHeight="1">
      <x:c r="A29" s="2"/>
      <x:c r="B29" s="23" t="str">
        <x:v>Alle zwölf Rechnungen nennen natürliche Personen. Die Gutschrift SF-A011 mindert Alois’ Auslage. Eine Kostenübernahme durch die künftige Gesellschaft ist noch nicht beschlossen.</x:v>
      </x:c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36" customHeight="1">
      <x:c r="A31" s="2"/>
      <x:c r="B31" s="23" t="str">
        <x:v>Der Steuerbetrag ist der auf dem jeweiligen Beleg ausgewiesene Betrag. Dieser Plan trifft keine Aussage über einen Vorsteuerabzug der späteren Gesellschaft.</x:v>
      </x:c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36" customHeight="1">
      <x:c r="A33" s="2"/>
      <x:c r="B33" s="23" t="str">
        <x:v>SF-A007 und SF-A010 sind zum Stichtag unbezahlt. Die Auslagen dürfen nicht zugleich als private Forderung und als bereits vom Gesellschaftskonto gezahlter Aufwand erfasst werden.</x:v>
      </x:c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</x:sheetData>
  <x:mergeCells>
    <x:mergeCell ref="B29:L29"/>
    <x:mergeCell ref="B31:L31"/>
    <x:mergeCell ref="B33:L33"/>
  </x:mergeCells>
  <x:pageMargins left="0.25" right="0.25" top="0.35" bottom="0.35" header="0.15" footer="0.15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tabColor rgb="FF234769"/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43.33000183105469" hidden="0" customWidth="1"/>
    <x:col min="3" max="3" width="16.110000610351562" hidden="0" customWidth="1"/>
    <x:col min="4" max="4" width="16.110000610351562" hidden="0" customWidth="1"/>
    <x:col min="5" max="5" width="16.110000610351562" hidden="0" customWidth="1"/>
    <x:col min="6" max="6" width="16.110000610351562" hidden="0" customWidth="1"/>
    <x:col min="7" max="7" width="16.110000610351562" hidden="0" customWidth="1"/>
    <x:col min="8" max="8" width="16.11000061035156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3" t="str">
        <x:v>Schnittflug: sechs Monate Finanzbedarf</x:v>
      </x:c>
      <x:c r="C2" s="2"/>
      <x:c r="D2" s="2"/>
      <x:c r="E2" s="2"/>
      <x:c r="F2" s="2"/>
      <x:c r="G2" s="2"/>
      <x:c r="H2" s="2"/>
    </x:row>
    <x:row r="3" ht="24" customHeight="1">
      <x:c r="A3" s="2"/>
      <x:c r="B3" s="2" t="str">
        <x:v>Stand 28.09.2026. Ottilie Kühnle. Nicht vollzogene Planung.</x:v>
      </x:c>
      <x:c r="C3" s="2"/>
      <x:c r="D3" s="2"/>
      <x:c r="E3" s="2"/>
      <x:c r="F3" s="2"/>
      <x:c r="G3" s="2"/>
      <x:c r="H3" s="2"/>
    </x:row>
    <x:row r="4" ht="25" customHeight="1">
      <x:c r="A4" s="2"/>
      <x:c r="B4" s="4"/>
      <x:c r="C4" s="4"/>
      <x:c r="D4" s="4"/>
      <x:c r="E4" s="4"/>
      <x:c r="F4" s="4"/>
      <x:c r="G4" s="4"/>
      <x:c r="H4" s="4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40" customHeight="1">
      <x:c r="A6" s="2"/>
      <x:c r="B6" s="13" t="str">
        <x:v>Auszahlung oder Finanzierung</x:v>
      </x:c>
      <x:c r="C6" s="34" t="n">
        <x:v>46296</x:v>
      </x:c>
      <x:c r="D6" s="34" t="n">
        <x:v>46327</x:v>
      </x:c>
      <x:c r="E6" s="34" t="n">
        <x:v>46357</x:v>
      </x:c>
      <x:c r="F6" s="34" t="n">
        <x:v>46388</x:v>
      </x:c>
      <x:c r="G6" s="34" t="n">
        <x:v>46419</x:v>
      </x:c>
      <x:c r="H6" s="35" t="n">
        <x:v>46447</x:v>
      </x:c>
    </x:row>
    <x:row r="7" ht="25" customHeight="1">
      <x:c r="A7" s="2"/>
      <x:c r="B7" s="2" t="str">
        <x:v>Stammeinlagen geplant</x:v>
      </x:c>
      <x:c r="C7" s="19" t="n">
        <x:v>25000</x:v>
      </x:c>
      <x:c r="D7" s="19" t="n">
        <x:v>0</x:v>
      </x:c>
      <x:c r="E7" s="19" t="n">
        <x:v>0</x:v>
      </x:c>
      <x:c r="F7" s="19" t="n">
        <x:v>0</x:v>
      </x:c>
      <x:c r="G7" s="19" t="n">
        <x:v>0</x:v>
      </x:c>
      <x:c r="H7" s="19" t="n">
        <x:v>0</x:v>
      </x:c>
    </x:row>
    <x:row r="8" ht="25" customHeight="1">
      <x:c r="A8" s="2"/>
      <x:c r="B8" s="2" t="str">
        <x:v>Weitere Finanzierung geplant</x:v>
      </x:c>
      <x:c r="C8" s="19" t="n">
        <x:v>0</x:v>
      </x:c>
      <x:c r="D8" s="19" t="n">
        <x:v>0</x:v>
      </x:c>
      <x:c r="E8" s="19" t="n">
        <x:v>0</x:v>
      </x:c>
      <x:c r="F8" s="19" t="n">
        <x:v>0</x:v>
      </x:c>
      <x:c r="G8" s="19" t="n">
        <x:v>0</x:v>
      </x:c>
      <x:c r="H8" s="19" t="n">
        <x:v>0</x:v>
      </x:c>
    </x:row>
    <x:row r="9" ht="25" customHeight="1">
      <x:c r="A9" s="2"/>
      <x:c r="B9" s="2"/>
      <x:c r="C9" s="2"/>
      <x:c r="D9" s="2"/>
      <x:c r="E9" s="2"/>
      <x:c r="F9" s="2"/>
      <x:c r="G9" s="2"/>
      <x:c r="H9" s="2"/>
    </x:row>
    <x:row r="10" ht="25" customHeight="1">
      <x:c r="A10" s="2"/>
      <x:c r="B10" s="2" t="str">
        <x:v>Werkraum und Betrieb</x:v>
      </x:c>
      <x:c r="C10" s="19" t="n">
        <x:v>1428</x:v>
      </x:c>
      <x:c r="D10" s="19" t="n">
        <x:v>1428</x:v>
      </x:c>
      <x:c r="E10" s="19" t="n">
        <x:v>1428</x:v>
      </x:c>
      <x:c r="F10" s="19" t="n">
        <x:v>1428</x:v>
      </x:c>
      <x:c r="G10" s="19" t="n">
        <x:v>1428</x:v>
      </x:c>
      <x:c r="H10" s="19" t="n">
        <x:v>1428</x:v>
      </x:c>
    </x:row>
    <x:row r="11" ht="25" customHeight="1">
      <x:c r="A11" s="2"/>
      <x:c r="B11" s="2" t="str">
        <x:v>Prüfstand und Bauteile</x:v>
      </x:c>
      <x:c r="C11" s="19" t="n">
        <x:v>5500</x:v>
      </x:c>
      <x:c r="D11" s="19" t="n">
        <x:v>4200</x:v>
      </x:c>
      <x:c r="E11" s="19" t="n">
        <x:v>3500</x:v>
      </x:c>
      <x:c r="F11" s="19" t="n">
        <x:v>2500</x:v>
      </x:c>
      <x:c r="G11" s="19" t="n">
        <x:v>2500</x:v>
      </x:c>
      <x:c r="H11" s="19" t="n">
        <x:v>1800</x:v>
      </x:c>
    </x:row>
    <x:row r="12" ht="25" customHeight="1">
      <x:c r="A12" s="2"/>
      <x:c r="B12" s="2" t="str">
        <x:v>Externe Leistungen</x:v>
      </x:c>
      <x:c r="C12" s="19" t="n">
        <x:v>3570</x:v>
      </x:c>
      <x:c r="D12" s="19" t="n">
        <x:v>1785</x:v>
      </x:c>
      <x:c r="E12" s="19" t="n">
        <x:v>2380</x:v>
      </x:c>
      <x:c r="F12" s="19" t="n">
        <x:v>1190</x:v>
      </x:c>
      <x:c r="G12" s="19" t="n">
        <x:v>1190</x:v>
      </x:c>
      <x:c r="H12" s="19" t="n">
        <x:v>1190</x:v>
      </x:c>
    </x:row>
    <x:row r="13" ht="25" customHeight="1">
      <x:c r="A13" s="2"/>
      <x:c r="B13" s="2" t="str">
        <x:v>Software und Rechenzeit</x:v>
      </x:c>
      <x:c r="C13" s="19" t="n">
        <x:v>714</x:v>
      </x:c>
      <x:c r="D13" s="19" t="n">
        <x:v>714</x:v>
      </x:c>
      <x:c r="E13" s="19" t="n">
        <x:v>714</x:v>
      </x:c>
      <x:c r="F13" s="19" t="n">
        <x:v>952</x:v>
      </x:c>
      <x:c r="G13" s="19" t="n">
        <x:v>952</x:v>
      </x:c>
      <x:c r="H13" s="19" t="n">
        <x:v>952</x:v>
      </x:c>
    </x:row>
    <x:row r="14" ht="25" customHeight="1">
      <x:c r="A14" s="2"/>
      <x:c r="B14" s="2" t="str">
        <x:v>Geschäftsführervergütungen brutto</x:v>
      </x:c>
      <x:c r="C14" s="19" t="n">
        <x:v>0</x:v>
      </x:c>
      <x:c r="D14" s="19" t="n">
        <x:v>0</x:v>
      </x:c>
      <x:c r="E14" s="19" t="n">
        <x:v>0</x:v>
      </x:c>
      <x:c r="F14" s="19" t="n">
        <x:v>7000</x:v>
      </x:c>
      <x:c r="G14" s="19" t="n">
        <x:v>7000</x:v>
      </x:c>
      <x:c r="H14" s="19" t="n">
        <x:v>7000</x:v>
      </x:c>
    </x:row>
    <x:row r="15" ht="25" customHeight="1">
      <x:c r="A15" s="2"/>
      <x:c r="B15" s="2" t="str">
        <x:v>Reserve Vergütungsnebenkosten</x:v>
      </x:c>
      <x:c r="C15" s="19" t="n">
        <x:v>0</x:v>
      </x:c>
      <x:c r="D15" s="19" t="n">
        <x:v>0</x:v>
      </x:c>
      <x:c r="E15" s="19" t="n">
        <x:v>0</x:v>
      </x:c>
      <x:c r="F15" s="19" t="n">
        <x:v>1750</x:v>
      </x:c>
      <x:c r="G15" s="19" t="n">
        <x:v>1750</x:v>
      </x:c>
      <x:c r="H15" s="19" t="n">
        <x:v>1750</x:v>
      </x:c>
    </x:row>
    <x:row r="16" ht="25" customHeight="1">
      <x:c r="A16" s="2"/>
      <x:c r="B16" s="2" t="str">
        <x:v>Sonstige Auszahlungen</x:v>
      </x:c>
      <x:c r="C16" s="19" t="n">
        <x:v>3808</x:v>
      </x:c>
      <x:c r="D16" s="19" t="n">
        <x:v>714</x:v>
      </x:c>
      <x:c r="E16" s="19" t="n">
        <x:v>714</x:v>
      </x:c>
      <x:c r="F16" s="19" t="n">
        <x:v>833</x:v>
      </x:c>
      <x:c r="G16" s="19" t="n">
        <x:v>833</x:v>
      </x:c>
      <x:c r="H16" s="19" t="n">
        <x:v>833</x:v>
      </x:c>
    </x:row>
    <x:row r="17" ht="25" customHeight="1">
      <x:c r="A17" s="2"/>
      <x:c r="B17" s="2" t="str">
        <x:v>Kaution Raum, geplant</x:v>
      </x:c>
      <x:c r="C17" s="19" t="n">
        <x:v>600</x:v>
      </x:c>
      <x:c r="D17" s="19" t="n">
        <x:v>0</x:v>
      </x:c>
      <x:c r="E17" s="19" t="n">
        <x:v>0</x:v>
      </x:c>
      <x:c r="F17" s="19" t="n">
        <x:v>0</x:v>
      </x:c>
      <x:c r="G17" s="19" t="n">
        <x:v>0</x:v>
      </x:c>
      <x:c r="H17" s="19" t="n">
        <x:v>0</x:v>
      </x:c>
    </x:row>
    <x:row r="18" ht="25" customHeight="1">
      <x:c r="A18" s="2"/>
      <x:c r="B18" s="2" t="str">
        <x:v>Private Auslagen: Erstattung je Monat</x:v>
      </x:c>
      <x:c r="C18" s="36" t="n">
        <x:v>0</x:v>
      </x:c>
      <x:c r="D18" s="36" t="n">
        <x:v>0</x:v>
      </x:c>
      <x:c r="E18" s="36" t="n">
        <x:v>0</x:v>
      </x:c>
      <x:c r="F18" s="36" t="n">
        <x:v>0</x:v>
      </x:c>
      <x:c r="G18" s="36" t="n">
        <x:v>0</x:v>
      </x:c>
      <x:c r="H18" s="36" t="n">
        <x:v>0</x:v>
      </x:c>
    </x:row>
    <x:row r="19" ht="25" customHeight="1">
      <x:c r="A19" s="2"/>
      <x:c r="B19" s="2"/>
      <x:c r="C19" s="2"/>
      <x:c r="D19" s="2"/>
      <x:c r="E19" s="2"/>
      <x:c r="F19" s="2"/>
      <x:c r="G19" s="2"/>
      <x:c r="H19" s="2"/>
    </x:row>
    <x:row r="20" ht="25" customHeight="1">
      <x:c r="A20" s="2"/>
      <x:c r="B20" s="2" t="str">
        <x:v>Unbezahlte Altbelege im Oktober</x:v>
      </x:c>
      <x:c r="C20" s="40" t="n">
        <x:f>'Auslagen'!F24</x:f>
        <x:v>713.9999999999995</x:v>
      </x:c>
      <x:c r="D20" s="41" t="n">
        <x:v>0</x:v>
      </x:c>
      <x:c r="E20" s="41" t="n">
        <x:v>0</x:v>
      </x:c>
      <x:c r="F20" s="41" t="n">
        <x:v>0</x:v>
      </x:c>
      <x:c r="G20" s="41" t="n">
        <x:v>0</x:v>
      </x:c>
      <x:c r="H20" s="41" t="n">
        <x:v>0</x:v>
      </x:c>
    </x:row>
    <x:row r="21" ht="25" customHeight="1">
      <x:c r="A21" s="2"/>
      <x:c r="B21" s="2"/>
      <x:c r="C21" s="2"/>
      <x:c r="D21" s="2"/>
      <x:c r="E21" s="2"/>
      <x:c r="F21" s="2"/>
      <x:c r="G21" s="2"/>
      <x:c r="H21" s="2"/>
    </x:row>
    <x:row r="22" ht="25" customHeight="1">
      <x:c r="A22" s="2"/>
      <x:c r="B22" s="2" t="str">
        <x:v>Datum der Annahmen</x:v>
      </x:c>
      <x:c r="C22" s="22" t="n">
        <x:v>46293</x:v>
      </x:c>
      <x:c r="D22" s="2"/>
      <x:c r="E22" s="2"/>
      <x:c r="F22" s="2"/>
      <x:c r="G22" s="2"/>
      <x:c r="H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</x:row>
    <x:row r="25" ht="46" customHeight="1">
      <x:c r="A25" s="2"/>
      <x:c r="B25" s="23" t="str">
        <x:v>Keine bestätigte Einzahlung und kein eröffnetes Gesellschaftskonto. Die 25.000 EUR im Oktober sind eine Finanzierungsannahme nach Beurkundung und Kontoeröffnung.</x:v>
      </x:c>
      <x:c r="C25" s="23"/>
      <x:c r="D25" s="23"/>
      <x:c r="E25" s="23"/>
      <x:c r="F25" s="23"/>
      <x:c r="G25" s="23"/>
      <x:c r="H25" s="23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</x:row>
    <x:row r="28" ht="46" customHeight="1">
      <x:c r="A28" s="2"/>
      <x:c r="B28" s="23" t="str">
        <x:v>Die Investorengespräche sind unverbindlich. Seed, Serie A und Serie B sind im Liquiditätsplan mit null EUR angesetzt.</x:v>
      </x:c>
      <x:c r="C28" s="23"/>
      <x:c r="D28" s="23"/>
      <x:c r="E28" s="23"/>
      <x:c r="F28" s="23"/>
      <x:c r="G28" s="23"/>
      <x:c r="H28" s="23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46" customHeight="1">
      <x:c r="A31" s="2"/>
      <x:c r="B31" s="23" t="str">
        <x:v>Alle Kosten sind Auszahlungen einschließlich gegebenenfalls berechneter Umsatzsteuer. Weder Vorsteuererstattungen noch Kundenumsätze sind eingeplant.</x:v>
      </x:c>
      <x:c r="C31" s="23"/>
      <x:c r="D31" s="23"/>
      <x:c r="E31" s="23"/>
      <x:c r="F31" s="23"/>
      <x:c r="G31" s="23"/>
      <x:c r="H31" s="23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  <x:row r="34" ht="46" customHeight="1">
      <x:c r="A34" s="2"/>
      <x:c r="B34" s="23" t="str">
        <x:v>Ab Januar sind zusammen 7.000 EUR monatliche Bruttovergütung für die zwei vorgesehenen Geschäftsführer diskutiert. Zusätzlich 1.750 EUR reine Liquiditätsreserve für Nebenkosten, ohne Festlegung eines sozialversicherungsrechtlichen Status.</x:v>
      </x:c>
      <x:c r="C34" s="23"/>
      <x:c r="D34" s="23"/>
      <x:c r="E34" s="23"/>
      <x:c r="F34" s="23"/>
      <x:c r="G34" s="23"/>
      <x:c r="H34" s="23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</x:row>
    <x:row r="37" ht="46" customHeight="1">
      <x:c r="A37" s="2"/>
      <x:c r="B37" s="23" t="str">
        <x:v>Private Auslagen werden vorerst nicht erstattet. Übernahme, Empfänger, Belegnachweis und gegebenenfalls Berichtigung sollen gesondert geklärt werden.</x:v>
      </x:c>
      <x:c r="C37" s="23"/>
      <x:c r="D37" s="23"/>
      <x:c r="E37" s="23"/>
      <x:c r="F37" s="23"/>
      <x:c r="G37" s="23"/>
      <x:c r="H37" s="23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</x:row>
    <x:row r="40" ht="46" customHeight="1">
      <x:c r="A40" s="2"/>
      <x:c r="B40" s="23" t="str">
        <x:v>Andere Kosten Oktober enthalten nur Budgetansätze für Notariat, Register, Eröffnungsberatung und Versicherung. Keine ergangenen Kostenrechnungen und keine abgeschlossenen Policen.</x:v>
      </x:c>
      <x:c r="C40" s="23"/>
      <x:c r="D40" s="23"/>
      <x:c r="E40" s="23"/>
      <x:c r="F40" s="23"/>
      <x:c r="G40" s="23"/>
      <x:c r="H40" s="23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</x:row>
    <x:row r="43" ht="70" customHeight="1">
      <x:c r="A43" s="2"/>
      <x:c r="B43" s="23" t="str">
        <x:v>Raumbudget monatlich 1.428 EUR: 595 EUR angebotener persönlicher Raum bei Flugfeld Werkhöfe plus 833 EUR Reserve für weitere Test-/Lagerfläche und Nebenkosten. Zusatzfläche ist noch nicht angemietet. Die 600 EUR Kaution aus dem Raumangebot sind im Oktober separat als geplanter Liquiditätsabfluss erfasst. Noch kein Vertrag und keine Zahlung. Quellen: E-Mails 06 und 24 sowie Raumentwurf 76. Amboß Werkraum GmbH vermietet davon getrennt Tageswerkplätze und Besprechungsräume.</x:v>
      </x:c>
      <x:c r="C43" s="23"/>
      <x:c r="D43" s="23"/>
      <x:c r="E43" s="23"/>
      <x:c r="F43" s="23"/>
      <x:c r="G43" s="23"/>
      <x:c r="H43" s="23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</x:row>
  </x:sheetData>
  <x:mergeCells>
    <x:mergeCell ref="B25:H25"/>
    <x:mergeCell ref="B28:H28"/>
    <x:mergeCell ref="B31:H31"/>
    <x:mergeCell ref="B34:H34"/>
    <x:mergeCell ref="B37:H37"/>
    <x:mergeCell ref="B40:H40"/>
    <x:mergeCell ref="B43:H43"/>
  </x:mergeCells>
  <x:pageMargins left="0.25" right="0.25" top="0.35" bottom="0.35" header="0.15" footer="0.15"/>
  <x:pageSetup paperSize="9" orientation="landscape" fitToWidth="1" fitToHeight="0"/>
</x:worksheet>
</file>