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65e0574cd4379" /><Relationship Id="rIdCoreProperties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gleich" sheetId="1" r:id="Rcfaf60885abb433e"/>
    <x:sheet xmlns:r="http://schemas.openxmlformats.org/officeDocument/2006/relationships" name="Kosten" sheetId="2" r:id="R5df4544879e14e00"/>
    <x:sheet xmlns:r="http://schemas.openxmlformats.org/officeDocument/2006/relationships" name="Zahlungen" sheetId="3" r:id="R98a4f70087074f4f"/>
  </x:sheets>
  <x:definedNames>
    <x:definedName name="_xlnm.Print_Area" localSheetId="0">'Abgleich'!$B$2:$J$47</x:definedName>
    <x:definedName name="_xlnm.Print_Titles" localSheetId="0">'Abgleich'!$2:$3</x:definedName>
    <x:definedName name="_xlnm.Print_Area" localSheetId="1">'Kosten'!$B$2:$J$28</x:definedName>
    <x:definedName name="_xlnm.Print_Titles" localSheetId="1">'Kosten'!$2:$6</x:definedName>
    <x:definedName name="_xlnm.Print_Area" localSheetId="2">'Zahlungen'!$B$2:$I$27</x:definedName>
    <x:definedName name="_xlnm.Print_Titles" localSheetId="2">'Zahlungen'!$2:$6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_);(#,##0.00);&quot;-&quot;_)"/>
    <x:numFmt numFmtId="201" formatCode="yyyy-mm-dd"/>
  </x:numFmts>
  <x:fonts count="9">
    <x:font>
      <x:sz val="11"/>
      <x:name val="Carlito"/>
    </x:font>
    <x:font>
      <x:sz val="11"/>
      <x:color rgb="FF222F3E"/>
      <x:name val="Arial"/>
    </x:font>
    <x:font>
      <x:b/>
      <x:sz val="15"/>
      <x:color rgb="FF24476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1753A1"/>
      <x:name val="Arial"/>
    </x:font>
    <x:font>
      <x:sz val="10"/>
      <x:color rgb="FF222F3E"/>
      <x:name val="Arial"/>
    </x:font>
    <x:font>
      <x:sz val="11"/>
      <x:color rgb="FF21623C"/>
      <x:name val="Arial"/>
    </x:font>
    <x:font>
      <x:b/>
      <x:sz val="11"/>
      <x:color rgb="FF222F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3"/>
      </x:patternFill>
    </x:fill>
    <x:fill>
      <x:patternFill patternType="solid">
        <x:fgColor rgb="FFFFF0C2"/>
      </x:patternFill>
    </x:fill>
    <x:fill>
      <x:patternFill patternType="solid">
        <x:fgColor rgb="FFEDF2F5"/>
      </x:patternFill>
    </x:fill>
  </x:fills>
  <x:borders count="6">
    <x:border/>
    <x:border>
      <x:bottom style="thin">
        <x:color rgb="FF24476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244763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4" borderId="5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8" fillId="4" borderId="5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horizontal="right" vertical="center"/>
    </x:xf>
    <x:xf numFmtId="200" fontId="8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A32D32"/>
      </x:font>
      <x:fill>
        <x:patternFill patternType="solid">
          <x:bgColor rgb="FFFC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02981c833473c" /><Relationship Type="http://schemas.openxmlformats.org/officeDocument/2006/relationships/theme" Target="/xl/theme/theme1.xml" Id="Rea6c93ed0add4ca4" /><Relationship Type="http://schemas.openxmlformats.org/officeDocument/2006/relationships/sharedStrings" Target="/xl/sharedStrings.xml" Id="Rf7e71bed8223460c" /><Relationship Type="http://schemas.openxmlformats.org/officeDocument/2006/relationships/worksheet" Target="/xl/worksheets/sheet1.xml" Id="Rcfaf60885abb433e" /><Relationship Type="http://schemas.openxmlformats.org/officeDocument/2006/relationships/worksheet" Target="/xl/worksheets/sheet2.xml" Id="R5df4544879e14e00" /><Relationship Type="http://schemas.openxmlformats.org/officeDocument/2006/relationships/worksheet" Target="/xl/worksheets/sheet3.xml" Id="R98a4f70087074f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3"/>
    <x:pageSetUpPr fitToPage="1"/>
  </x:sheetPr>
  <x:sheetViews>
    <x:sheetView showGridLines="0" workbookViewId="0">
      <x:pane xSplit="3" ySplit="15" topLeftCell="D16" activePane="bottomRight" state="frozen"/>
    </x:sheetView>
  </x:sheetViews>
  <x:sheetFormatPr defaultRowHeight="15"/>
  <x:cols>
    <x:col min="1" max="1" width="2" hidden="0" customWidth="1"/>
    <x:col min="2" max="2" width="12.4399995803833" hidden="0" customWidth="1"/>
    <x:col min="3" max="3" width="20" hidden="0" customWidth="1"/>
    <x:col min="4" max="4" width="12.220000267028809" hidden="0" customWidth="1"/>
    <x:col min="5" max="5" width="12.779999732971191" hidden="0" customWidth="1"/>
    <x:col min="6" max="6" width="12.220000267028809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4.439999580383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3" t="str">
        <x:v>Private Auslagen: Nachreichung und Freigaben</x:v>
      </x:c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 t="str">
        <x:v>Ottilie Kühnle · Nachreichung 28.09.2026, 14:20 Uhr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  <x:c r="J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2"/>
      <x:c r="B6" s="13" t="str">
        <x:v>Stand</x:v>
      </x:c>
      <x:c r="C6" s="14" t="str">
        <x:v>Einordnung</x:v>
      </x:c>
      <x:c r="D6" s="14" t="str">
        <x:v>Kosten EUR</x:v>
      </x:c>
      <x:c r="E6" s="14" t="str">
        <x:v>Privat getragen EUR</x:v>
      </x:c>
      <x:c r="F6" s="15" t="str">
        <x:v>Offen EUR</x:v>
      </x:c>
      <x:c r="G6" s="2"/>
      <x:c r="H6" s="2"/>
      <x:c r="I6" s="2"/>
      <x:c r="J6" s="2"/>
    </x:row>
    <x:row r="7" ht="25" customHeight="1">
      <x:c r="A7" s="2"/>
      <x:c r="B7" s="2" t="str">
        <x:v>08:40</x:v>
      </x:c>
      <x:c r="C7" s="2" t="str">
        <x:v>Datei 51</x:v>
      </x:c>
      <x:c r="D7" s="35" t="n">
        <x:f>SUMIFS('Kosten'!$H$7:$H$24,'Kosten'!$I$7:$I$24,B7)</x:f>
        <x:v>3109.2299999999996</x:v>
      </x:c>
      <x:c r="E7" s="35" t="n">
        <x:f>SUMIFS('Zahlungen'!$F$7:$F$22,'Zahlungen'!$H$7:$H$22,B7)</x:f>
        <x:v>2395.23</x:v>
      </x:c>
      <x:c r="F7" s="22" t="n">
        <x:f>ROUND(D7-E7,2)</x:f>
        <x:v>714</x:v>
      </x:c>
      <x:c r="G7" s="2"/>
      <x:c r="H7" s="2"/>
      <x:c r="I7" s="2"/>
      <x:c r="J7" s="2"/>
    </x:row>
    <x:row r="8" ht="25" customHeight="1">
      <x:c r="A8" s="2"/>
      <x:c r="B8" s="2" t="str">
        <x:v>14:20</x:v>
      </x:c>
      <x:c r="C8" s="2" t="str">
        <x:v>Veränderung</x:v>
      </x:c>
      <x:c r="D8" s="35" t="n">
        <x:f>SUMIFS('Kosten'!$H$7:$H$24,'Kosten'!$I$7:$I$24,B8)</x:f>
        <x:v>787.66</x:v>
      </x:c>
      <x:c r="E8" s="35" t="n">
        <x:f>SUMIFS('Zahlungen'!$F$7:$F$22,'Zahlungen'!$H$7:$H$22,B8)</x:f>
        <x:v>866.38</x:v>
      </x:c>
      <x:c r="F8" s="22" t="n">
        <x:f>ROUND(D8-E8,2)</x:f>
        <x:v>-78.72</x:v>
      </x:c>
      <x:c r="G8" s="2"/>
      <x:c r="H8" s="2"/>
      <x:c r="I8" s="2"/>
      <x:c r="J8" s="2"/>
    </x:row>
    <x:row r="9" ht="29" customHeight="1">
      <x:c r="A9" s="2"/>
      <x:c r="B9" s="32" t="str">
        <x:v>Gesamt</x:v>
      </x:c>
      <x:c r="C9" s="32"/>
      <x:c r="D9" s="36" t="n">
        <x:f>SUM(D7:D8)</x:f>
        <x:v>3896.8899999999994</x:v>
      </x:c>
      <x:c r="E9" s="36" t="n">
        <x:f>SUM(E7:E8)</x:f>
        <x:v>3261.61</x:v>
      </x:c>
      <x:c r="F9" s="36" t="n">
        <x:f>SUM(F7:F8)</x:f>
        <x:v>635.28</x:v>
      </x:c>
      <x:c r="G9" s="2"/>
      <x:c r="H9" s="2"/>
      <x:c r="I9" s="2"/>
      <x:c r="J9" s="2"/>
    </x:row>
    <x:row r="10" ht="2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5" customHeight="1">
      <x:c r="A11" s="2"/>
      <x:c r="B11" s="25" t="str">
        <x:v>Die Nachreichung kam nach 13:00 Uhr. Datei 51 bleibt als Morgenstand erhalten.</x:v>
      </x:c>
      <x:c r="C11" s="2"/>
      <x:c r="D11" s="2"/>
      <x:c r="E11" s="2"/>
      <x:c r="F11" s="2"/>
      <x:c r="G11" s="2"/>
      <x:c r="H11" s="2"/>
      <x:c r="I11" s="2"/>
      <x:c r="J11" s="2"/>
    </x:row>
    <x:row r="12" ht="25" customHeight="1">
      <x:c r="A12" s="2"/>
      <x:c r="B12" s="25" t="str">
        <x:v>Zahlungen zu SF-A007 und SF-A010 erfolgten am 27.09.; die Bestätigungen lagen morgens noch nicht vor.</x:v>
      </x:c>
      <x:c r="C12" s="2"/>
      <x:c r="D12" s="2"/>
      <x:c r="E12" s="2"/>
      <x:c r="F12" s="2"/>
      <x:c r="G12" s="2"/>
      <x:c r="H12" s="2"/>
      <x:c r="I12" s="2"/>
      <x:c r="J12" s="2"/>
    </x:row>
    <x:row r="13" ht="25" customHeight="1">
      <x:c r="A13" s="2"/>
      <x:c r="B13" s="25" t="str">
        <x:v>Gelbe Felder dokumentieren spätere Entscheidungen. Zum Stand 14:20 sind alle drei Voraussetzungen offen.</x:v>
      </x:c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58" customHeight="1">
      <x:c r="A15" s="2"/>
      <x:c r="B15" s="13" t="str">
        <x:v>Rechnung</x:v>
      </x:c>
      <x:c r="C15" s="14" t="str">
        <x:v>Privatperson</x:v>
      </x:c>
      <x:c r="D15" s="14" t="str">
        <x:v>Kosten nach Gutschrift EUR</x:v>
      </x:c>
      <x:c r="E15" s="14" t="str">
        <x:v>Privat getragen EUR</x:v>
      </x:c>
      <x:c r="F15" s="14" t="str">
        <x:v>Offen EUR</x:v>
      </x:c>
      <x:c r="G15" s="14" t="str">
        <x:v>Erstattungs-freigabe</x:v>
      </x:c>
      <x:c r="H15" s="14" t="str">
        <x:v>Empfänger bestätigt</x:v>
      </x:c>
      <x:c r="I15" s="14" t="str">
        <x:v>Übernahme bestätigt</x:v>
      </x:c>
      <x:c r="J15" s="15" t="str">
        <x:v>Freigegebener Betrag EUR</x:v>
      </x:c>
    </x:row>
    <x:row r="16" ht="23" customHeight="1">
      <x:c r="A16" s="2"/>
      <x:c r="B16" s="2" t="str">
        <x:v>SF-A001</x:v>
      </x:c>
      <x:c r="C16" s="24" t="str">
        <x:v>Ottilie Kühnle</x:v>
      </x:c>
      <x:c r="D16" s="35" t="n">
        <x:f>IF(COUNTIFS('Kosten'!$B$7:$B$24,B16)=1,SUMIFS('Kosten'!$H$7:$H$24,'Kosten'!$C$7:$C$24,B16),"Beleg-ID prüfen")</x:f>
        <x:v>14.16</x:v>
      </x:c>
      <x:c r="E16" s="35" t="n">
        <x:f>SUMIFS('Zahlungen'!$F$7:$F$22,'Zahlungen'!$C$7:$C$22,B16)</x:f>
        <x:v>14.16</x:v>
      </x:c>
      <x:c r="F16" s="22" t="n">
        <x:f>ROUND(D16-E16,2)</x:f>
        <x:v>0</x:v>
      </x:c>
      <x:c r="G16" s="18" t="str">
        <x:v>Offen</x:v>
      </x:c>
      <x:c r="H16" s="18" t="str">
        <x:v>Offen</x:v>
      </x:c>
      <x:c r="I16" s="18" t="str">
        <x:v>Offen</x:v>
      </x:c>
      <x:c r="J16" s="22" t="n">
        <x:f>IF(AND(G16="Ja",H16="Ja",I16="Ja"),MAX(0,E16),0)</x:f>
        <x:v>0</x:v>
      </x:c>
    </x:row>
    <x:row r="17" ht="23" customHeight="1">
      <x:c r="A17" s="2"/>
      <x:c r="B17" s="2" t="str">
        <x:v>SF-A002</x:v>
      </x:c>
      <x:c r="C17" s="24" t="str">
        <x:v>Eberhard Demir</x:v>
      </x:c>
      <x:c r="D17" s="35" t="n">
        <x:f>IF(COUNTIFS('Kosten'!$B$7:$B$24,B17)=1,SUMIFS('Kosten'!$H$7:$H$24,'Kosten'!$C$7:$C$24,B17),"Beleg-ID prüfen")</x:f>
        <x:v>357</x:v>
      </x:c>
      <x:c r="E17" s="35" t="n">
        <x:f>SUMIFS('Zahlungen'!$F$7:$F$22,'Zahlungen'!$C$7:$C$22,B17)</x:f>
        <x:v>357</x:v>
      </x:c>
      <x:c r="F17" s="22" t="n">
        <x:f>ROUND(D17-E17,2)</x:f>
        <x:v>0</x:v>
      </x:c>
      <x:c r="G17" s="18" t="str">
        <x:v>Offen</x:v>
      </x:c>
      <x:c r="H17" s="18" t="str">
        <x:v>Offen</x:v>
      </x:c>
      <x:c r="I17" s="18" t="str">
        <x:v>Offen</x:v>
      </x:c>
      <x:c r="J17" s="22" t="n">
        <x:f>IF(AND(G17="Ja",H17="Ja",I17="Ja"),MAX(0,E17),0)</x:f>
        <x:v>0</x:v>
      </x:c>
    </x:row>
    <x:row r="18" ht="23" customHeight="1">
      <x:c r="A18" s="2"/>
      <x:c r="B18" s="2" t="str">
        <x:v>SF-A003</x:v>
      </x:c>
      <x:c r="C18" s="24" t="str">
        <x:v>Nepomuk Huber</x:v>
      </x:c>
      <x:c r="D18" s="35" t="n">
        <x:f>IF(COUNTIFS('Kosten'!$B$7:$B$24,B18)=1,SUMIFS('Kosten'!$H$7:$H$24,'Kosten'!$C$7:$C$24,B18),"Beleg-ID prüfen")</x:f>
        <x:v>214.2</x:v>
      </x:c>
      <x:c r="E18" s="35" t="n">
        <x:f>SUMIFS('Zahlungen'!$F$7:$F$22,'Zahlungen'!$C$7:$C$22,B18)</x:f>
        <x:v>214.2</x:v>
      </x:c>
      <x:c r="F18" s="22" t="n">
        <x:f>ROUND(D18-E18,2)</x:f>
        <x:v>0</x:v>
      </x:c>
      <x:c r="G18" s="18" t="str">
        <x:v>Offen</x:v>
      </x:c>
      <x:c r="H18" s="18" t="str">
        <x:v>Offen</x:v>
      </x:c>
      <x:c r="I18" s="18" t="str">
        <x:v>Offen</x:v>
      </x:c>
      <x:c r="J18" s="22" t="n">
        <x:f>IF(AND(G18="Ja",H18="Ja",I18="Ja"),MAX(0,E18),0)</x:f>
        <x:v>0</x:v>
      </x:c>
    </x:row>
    <x:row r="19" ht="23" customHeight="1">
      <x:c r="A19" s="2"/>
      <x:c r="B19" s="2" t="str">
        <x:v>SF-A004</x:v>
      </x:c>
      <x:c r="C19" s="24" t="str">
        <x:v>Kunigunde Nguyen</x:v>
      </x:c>
      <x:c r="D19" s="35" t="n">
        <x:f>IF(COUNTIFS('Kosten'!$B$7:$B$24,B19)=1,SUMIFS('Kosten'!$H$7:$H$24,'Kosten'!$C$7:$C$24,B19),"Beleg-ID prüfen")</x:f>
        <x:v>940.1</x:v>
      </x:c>
      <x:c r="E19" s="35" t="n">
        <x:f>SUMIFS('Zahlungen'!$F$7:$F$22,'Zahlungen'!$C$7:$C$22,B19)</x:f>
        <x:v>940.1</x:v>
      </x:c>
      <x:c r="F19" s="22" t="n">
        <x:f>ROUND(D19-E19,2)</x:f>
        <x:v>0</x:v>
      </x:c>
      <x:c r="G19" s="18" t="str">
        <x:v>Offen</x:v>
      </x:c>
      <x:c r="H19" s="18" t="str">
        <x:v>Offen</x:v>
      </x:c>
      <x:c r="I19" s="18" t="str">
        <x:v>Offen</x:v>
      </x:c>
      <x:c r="J19" s="22" t="n">
        <x:f>IF(AND(G19="Ja",H19="Ja",I19="Ja"),MAX(0,E19),0)</x:f>
        <x:v>0</x:v>
      </x:c>
    </x:row>
    <x:row r="20" ht="23" customHeight="1">
      <x:c r="A20" s="2"/>
      <x:c r="B20" s="2" t="str">
        <x:v>SF-A005</x:v>
      </x:c>
      <x:c r="C20" s="24" t="str">
        <x:v>Alois Rossi</x:v>
      </x:c>
      <x:c r="D20" s="35" t="n">
        <x:f>IF(COUNTIFS('Kosten'!$B$7:$B$24,B20)=1,SUMIFS('Kosten'!$H$7:$H$24,'Kosten'!$C$7:$C$24,B20),"Beleg-ID prüfen")</x:f>
        <x:v>278.46</x:v>
      </x:c>
      <x:c r="E20" s="35" t="n">
        <x:f>SUMIFS('Zahlungen'!$F$7:$F$22,'Zahlungen'!$C$7:$C$22,B20)</x:f>
        <x:v>278.46</x:v>
      </x:c>
      <x:c r="F20" s="22" t="n">
        <x:f>ROUND(D20-E20,2)</x:f>
        <x:v>0</x:v>
      </x:c>
      <x:c r="G20" s="18" t="str">
        <x:v>Offen</x:v>
      </x:c>
      <x:c r="H20" s="18" t="str">
        <x:v>Offen</x:v>
      </x:c>
      <x:c r="I20" s="18" t="str">
        <x:v>Offen</x:v>
      </x:c>
      <x:c r="J20" s="22" t="n">
        <x:f>IF(AND(G20="Ja",H20="Ja",I20="Ja"),MAX(0,E20),0)</x:f>
        <x:v>0</x:v>
      </x:c>
    </x:row>
    <x:row r="21" ht="23" customHeight="1">
      <x:c r="A21" s="2"/>
      <x:c r="B21" s="2" t="str">
        <x:v>SF-A006</x:v>
      </x:c>
      <x:c r="C21" s="24" t="str">
        <x:v>Alois Rossi</x:v>
      </x:c>
      <x:c r="D21" s="35" t="n">
        <x:f>IF(COUNTIFS('Kosten'!$B$7:$B$24,B21)=1,SUMIFS('Kosten'!$H$7:$H$24,'Kosten'!$C$7:$C$24,B21),"Beleg-ID prüfen")</x:f>
        <x:v>153.51</x:v>
      </x:c>
      <x:c r="E21" s="35" t="n">
        <x:f>SUMIFS('Zahlungen'!$F$7:$F$22,'Zahlungen'!$C$7:$C$22,B21)</x:f>
        <x:v>153.51</x:v>
      </x:c>
      <x:c r="F21" s="22" t="n">
        <x:f>ROUND(D21-E21,2)</x:f>
        <x:v>0</x:v>
      </x:c>
      <x:c r="G21" s="18" t="str">
        <x:v>Offen</x:v>
      </x:c>
      <x:c r="H21" s="18" t="str">
        <x:v>Offen</x:v>
      </x:c>
      <x:c r="I21" s="18" t="str">
        <x:v>Offen</x:v>
      </x:c>
      <x:c r="J21" s="22" t="n">
        <x:f>IF(AND(G21="Ja",H21="Ja",I21="Ja"),MAX(0,E21),0)</x:f>
        <x:v>0</x:v>
      </x:c>
    </x:row>
    <x:row r="22" ht="23" customHeight="1">
      <x:c r="A22" s="2"/>
      <x:c r="B22" s="2" t="str">
        <x:v>SF-A007</x:v>
      </x:c>
      <x:c r="C22" s="24" t="str">
        <x:v>Thekla Ben-Ami</x:v>
      </x:c>
      <x:c r="D22" s="35" t="n">
        <x:f>IF(COUNTIFS('Kosten'!$B$7:$B$24,B22)=1,SUMIFS('Kosten'!$H$7:$H$24,'Kosten'!$C$7:$C$24,B22),"Beleg-ID prüfen")</x:f>
        <x:v>499.8</x:v>
      </x:c>
      <x:c r="E22" s="35" t="n">
        <x:f>SUMIFS('Zahlungen'!$F$7:$F$22,'Zahlungen'!$C$7:$C$22,B22)</x:f>
        <x:v>200</x:v>
      </x:c>
      <x:c r="F22" s="22" t="n">
        <x:f>ROUND(D22-E22,2)</x:f>
        <x:v>299.8</x:v>
      </x:c>
      <x:c r="G22" s="18" t="str">
        <x:v>Offen</x:v>
      </x:c>
      <x:c r="H22" s="18" t="str">
        <x:v>Offen</x:v>
      </x:c>
      <x:c r="I22" s="18" t="str">
        <x:v>Offen</x:v>
      </x:c>
      <x:c r="J22" s="22" t="n">
        <x:f>IF(AND(G22="Ja",H22="Ja",I22="Ja"),MAX(0,E22),0)</x:f>
        <x:v>0</x:v>
      </x:c>
    </x:row>
    <x:row r="23" ht="23" customHeight="1">
      <x:c r="A23" s="2"/>
      <x:c r="B23" s="2" t="str">
        <x:v>SF-A008</x:v>
      </x:c>
      <x:c r="C23" s="24" t="str">
        <x:v>Wilhelmine Okafor</x:v>
      </x:c>
      <x:c r="D23" s="35" t="n">
        <x:f>IF(COUNTIFS('Kosten'!$B$7:$B$24,B23)=1,SUMIFS('Kosten'!$H$7:$H$24,'Kosten'!$C$7:$C$24,B23),"Beleg-ID prüfen")</x:f>
        <x:v>224.91</x:v>
      </x:c>
      <x:c r="E23" s="35" t="n">
        <x:f>SUMIFS('Zahlungen'!$F$7:$F$22,'Zahlungen'!$C$7:$C$22,B23)</x:f>
        <x:v>224.91</x:v>
      </x:c>
      <x:c r="F23" s="22" t="n">
        <x:f>ROUND(D23-E23,2)</x:f>
        <x:v>0</x:v>
      </x:c>
      <x:c r="G23" s="18" t="str">
        <x:v>Offen</x:v>
      </x:c>
      <x:c r="H23" s="18" t="str">
        <x:v>Offen</x:v>
      </x:c>
      <x:c r="I23" s="18" t="str">
        <x:v>Offen</x:v>
      </x:c>
      <x:c r="J23" s="22" t="n">
        <x:f>IF(AND(G23="Ja",H23="Ja",I23="Ja"),MAX(0,E23),0)</x:f>
        <x:v>0</x:v>
      </x:c>
    </x:row>
    <x:row r="24" ht="23" customHeight="1">
      <x:c r="A24" s="2"/>
      <x:c r="B24" s="2" t="str">
        <x:v>SF-A009</x:v>
      </x:c>
      <x:c r="C24" s="24" t="str">
        <x:v>Kunigunde Nguyen</x:v>
      </x:c>
      <x:c r="D24" s="35" t="n">
        <x:f>IF(COUNTIFS('Kosten'!$B$7:$B$24,B24)=1,SUMIFS('Kosten'!$H$7:$H$24,'Kosten'!$C$7:$C$24,B24),"Beleg-ID prüfen")</x:f>
        <x:v>77.35</x:v>
      </x:c>
      <x:c r="E24" s="35" t="n">
        <x:f>SUMIFS('Zahlungen'!$F$7:$F$22,'Zahlungen'!$C$7:$C$22,B24)</x:f>
        <x:v>77.35</x:v>
      </x:c>
      <x:c r="F24" s="22" t="n">
        <x:f>ROUND(D24-E24,2)</x:f>
        <x:v>0</x:v>
      </x:c>
      <x:c r="G24" s="18" t="str">
        <x:v>Offen</x:v>
      </x:c>
      <x:c r="H24" s="18" t="str">
        <x:v>Offen</x:v>
      </x:c>
      <x:c r="I24" s="18" t="str">
        <x:v>Offen</x:v>
      </x:c>
      <x:c r="J24" s="22" t="n">
        <x:f>IF(AND(G24="Ja",H24="Ja",I24="Ja"),MAX(0,E24),0)</x:f>
        <x:v>0</x:v>
      </x:c>
    </x:row>
    <x:row r="25" ht="23" customHeight="1">
      <x:c r="A25" s="2"/>
      <x:c r="B25" s="2" t="str">
        <x:v>SF-A010</x:v>
      </x:c>
      <x:c r="C25" s="24" t="str">
        <x:v>Ottilie Kühnle</x:v>
      </x:c>
      <x:c r="D25" s="35" t="n">
        <x:f>IF(COUNTIFS('Kosten'!$B$7:$B$24,B25)=1,SUMIFS('Kosten'!$H$7:$H$24,'Kosten'!$C$7:$C$24,B25),"Beleg-ID prüfen")</x:f>
        <x:v>214.2</x:v>
      </x:c>
      <x:c r="E25" s="35" t="n">
        <x:f>SUMIFS('Zahlungen'!$F$7:$F$22,'Zahlungen'!$C$7:$C$22,B25)</x:f>
        <x:v>214.2</x:v>
      </x:c>
      <x:c r="F25" s="22" t="n">
        <x:f>ROUND(D25-E25,2)</x:f>
        <x:v>0</x:v>
      </x:c>
      <x:c r="G25" s="18" t="str">
        <x:v>Offen</x:v>
      </x:c>
      <x:c r="H25" s="18" t="str">
        <x:v>Offen</x:v>
      </x:c>
      <x:c r="I25" s="18" t="str">
        <x:v>Offen</x:v>
      </x:c>
      <x:c r="J25" s="22" t="n">
        <x:f>IF(AND(G25="Ja",H25="Ja",I25="Ja"),MAX(0,E25),0)</x:f>
        <x:v>0</x:v>
      </x:c>
    </x:row>
    <x:row r="26" ht="23" customHeight="1">
      <x:c r="A26" s="2"/>
      <x:c r="B26" s="2" t="str">
        <x:v>SF-A012</x:v>
      </x:c>
      <x:c r="C26" s="24" t="str">
        <x:v>Ottilie Kühnle</x:v>
      </x:c>
      <x:c r="D26" s="35" t="n">
        <x:f>IF(COUNTIFS('Kosten'!$B$7:$B$24,B26)=1,SUMIFS('Kosten'!$H$7:$H$24,'Kosten'!$C$7:$C$24,B26),"Beleg-ID prüfen")</x:f>
        <x:v>116.62</x:v>
      </x:c>
      <x:c r="E26" s="35" t="n">
        <x:f>SUMIFS('Zahlungen'!$F$7:$F$22,'Zahlungen'!$C$7:$C$22,B26)</x:f>
        <x:v>116.62</x:v>
      </x:c>
      <x:c r="F26" s="22" t="n">
        <x:f>ROUND(D26-E26,2)</x:f>
        <x:v>0</x:v>
      </x:c>
      <x:c r="G26" s="18" t="str">
        <x:v>Offen</x:v>
      </x:c>
      <x:c r="H26" s="18" t="str">
        <x:v>Offen</x:v>
      </x:c>
      <x:c r="I26" s="18" t="str">
        <x:v>Offen</x:v>
      </x:c>
      <x:c r="J26" s="22" t="n">
        <x:f>IF(AND(G26="Ja",H26="Ja",I26="Ja"),MAX(0,E26),0)</x:f>
        <x:v>0</x:v>
      </x:c>
    </x:row>
    <x:row r="27" ht="23" customHeight="1">
      <x:c r="A27" s="2"/>
      <x:c r="B27" s="2" t="str">
        <x:v>SF-A013</x:v>
      </x:c>
      <x:c r="C27" s="24" t="str">
        <x:v>Eberhard Demir</x:v>
      </x:c>
      <x:c r="D27" s="35" t="n">
        <x:f>IF(COUNTIFS('Kosten'!$B$7:$B$24,B27)=1,SUMIFS('Kosten'!$H$7:$H$24,'Kosten'!$C$7:$C$24,B27),"Beleg-ID prüfen")</x:f>
        <x:v>18.92</x:v>
      </x:c>
      <x:c r="E27" s="35" t="n">
        <x:f>SUMIFS('Zahlungen'!$F$7:$F$22,'Zahlungen'!$C$7:$C$22,B27)</x:f>
        <x:v>18.92</x:v>
      </x:c>
      <x:c r="F27" s="22" t="n">
        <x:f>ROUND(D27-E27,2)</x:f>
        <x:v>0</x:v>
      </x:c>
      <x:c r="G27" s="18" t="str">
        <x:v>Offen</x:v>
      </x:c>
      <x:c r="H27" s="18" t="str">
        <x:v>Offen</x:v>
      </x:c>
      <x:c r="I27" s="18" t="str">
        <x:v>Offen</x:v>
      </x:c>
      <x:c r="J27" s="22" t="n">
        <x:f>IF(AND(G27="Ja",H27="Ja",I27="Ja"),MAX(0,E27),0)</x:f>
        <x:v>0</x:v>
      </x:c>
    </x:row>
    <x:row r="28" ht="23" customHeight="1">
      <x:c r="A28" s="2"/>
      <x:c r="B28" s="2" t="str">
        <x:v>SF-A014</x:v>
      </x:c>
      <x:c r="C28" s="24" t="str">
        <x:v>Eberhard Demir</x:v>
      </x:c>
      <x:c r="D28" s="35" t="n">
        <x:f>IF(COUNTIFS('Kosten'!$B$7:$B$24,B28)=1,SUMIFS('Kosten'!$H$7:$H$24,'Kosten'!$C$7:$C$24,B28),"Beleg-ID prüfen")</x:f>
        <x:v>499.8</x:v>
      </x:c>
      <x:c r="E28" s="35" t="n">
        <x:f>SUMIFS('Zahlungen'!$F$7:$F$22,'Zahlungen'!$C$7:$C$22,B28)</x:f>
        <x:v>250</x:v>
      </x:c>
      <x:c r="F28" s="22" t="n">
        <x:f>ROUND(D28-E28,2)</x:f>
        <x:v>249.8</x:v>
      </x:c>
      <x:c r="G28" s="18" t="str">
        <x:v>Offen</x:v>
      </x:c>
      <x:c r="H28" s="18" t="str">
        <x:v>Offen</x:v>
      </x:c>
      <x:c r="I28" s="18" t="str">
        <x:v>Offen</x:v>
      </x:c>
      <x:c r="J28" s="22" t="n">
        <x:f>IF(AND(G28="Ja",H28="Ja",I28="Ja"),MAX(0,E28),0)</x:f>
        <x:v>0</x:v>
      </x:c>
    </x:row>
    <x:row r="29" ht="23" customHeight="1">
      <x:c r="A29" s="2"/>
      <x:c r="B29" s="2" t="str">
        <x:v>SF-A016</x:v>
      </x:c>
      <x:c r="C29" s="24" t="str">
        <x:v>Kunigunde Nguyen</x:v>
      </x:c>
      <x:c r="D29" s="35" t="n">
        <x:f>IF(COUNTIFS('Kosten'!$B$7:$B$24,B29)=1,SUMIFS('Kosten'!$H$7:$H$24,'Kosten'!$C$7:$C$24,B29),"Beleg-ID prüfen")</x:f>
        <x:v>178.5</x:v>
      </x:c>
      <x:c r="E29" s="35" t="n">
        <x:f>SUMIFS('Zahlungen'!$F$7:$F$22,'Zahlungen'!$C$7:$C$22,B29)</x:f>
        <x:v>178.5</x:v>
      </x:c>
      <x:c r="F29" s="22" t="n">
        <x:f>ROUND(D29-E29,2)</x:f>
        <x:v>0</x:v>
      </x:c>
      <x:c r="G29" s="18" t="str">
        <x:v>Offen</x:v>
      </x:c>
      <x:c r="H29" s="18" t="str">
        <x:v>Offen</x:v>
      </x:c>
      <x:c r="I29" s="18" t="str">
        <x:v>Offen</x:v>
      </x:c>
      <x:c r="J29" s="22" t="n">
        <x:f>IF(AND(G29="Ja",H29="Ja",I29="Ja"),MAX(0,E29),0)</x:f>
        <x:v>0</x:v>
      </x:c>
    </x:row>
    <x:row r="30" ht="23" customHeight="1">
      <x:c r="A30" s="2"/>
      <x:c r="B30" s="2" t="str">
        <x:v>SF-A021</x:v>
      </x:c>
      <x:c r="C30" s="24" t="str">
        <x:v>Wilhelmine Okafor</x:v>
      </x:c>
      <x:c r="D30" s="35" t="n">
        <x:f>IF(COUNTIFS('Kosten'!$B$7:$B$24,B30)=1,SUMIFS('Kosten'!$H$7:$H$24,'Kosten'!$C$7:$C$24,B30),"Beleg-ID prüfen")</x:f>
        <x:v>85.68</x:v>
      </x:c>
      <x:c r="E30" s="35" t="n">
        <x:f>SUMIFS('Zahlungen'!$F$7:$F$22,'Zahlungen'!$C$7:$C$22,B30)</x:f>
        <x:v>0</x:v>
      </x:c>
      <x:c r="F30" s="22" t="n">
        <x:f>ROUND(D30-E30,2)</x:f>
        <x:v>85.68</x:v>
      </x:c>
      <x:c r="G30" s="18" t="str">
        <x:v>Offen</x:v>
      </x:c>
      <x:c r="H30" s="18" t="str">
        <x:v>Offen</x:v>
      </x:c>
      <x:c r="I30" s="18" t="str">
        <x:v>Offen</x:v>
      </x:c>
      <x:c r="J30" s="22" t="n">
        <x:f>IF(AND(G30="Ja",H30="Ja",I30="Ja"),MAX(0,E30),0)</x:f>
        <x:v>0</x:v>
      </x:c>
    </x:row>
    <x:row r="31" ht="23" customHeight="1">
      <x:c r="A31" s="2"/>
      <x:c r="B31" s="2" t="str">
        <x:v>SF-A022</x:v>
      </x:c>
      <x:c r="C31" s="24" t="str">
        <x:v>Nepomuk Huber</x:v>
      </x:c>
      <x:c r="D31" s="35" t="n">
        <x:f>IF(COUNTIFS('Kosten'!$B$7:$B$24,B31)=1,SUMIFS('Kosten'!$H$7:$H$24,'Kosten'!$C$7:$C$24,B31),"Beleg-ID prüfen")</x:f>
        <x:v>23.68</x:v>
      </x:c>
      <x:c r="E31" s="35" t="n">
        <x:f>SUMIFS('Zahlungen'!$F$7:$F$22,'Zahlungen'!$C$7:$C$22,B31)</x:f>
        <x:v>23.68</x:v>
      </x:c>
      <x:c r="F31" s="22" t="n">
        <x:f>ROUND(D31-E31,2)</x:f>
        <x:v>0</x:v>
      </x:c>
      <x:c r="G31" s="18" t="str">
        <x:v>Offen</x:v>
      </x:c>
      <x:c r="H31" s="18" t="str">
        <x:v>Offen</x:v>
      </x:c>
      <x:c r="I31" s="18" t="str">
        <x:v>Offen</x:v>
      </x:c>
      <x:c r="J31" s="22" t="n">
        <x:f>IF(AND(G31="Ja",H31="Ja",I31="Ja"),MAX(0,E31),0)</x:f>
        <x:v>0</x:v>
      </x:c>
    </x:row>
    <x:row r="32" ht="25" customHeight="1">
      <x:c r="A32" s="2"/>
      <x:c r="B32" s="2"/>
      <x:c r="C32" s="2"/>
      <x:c r="D32" s="38"/>
      <x:c r="E32" s="38"/>
      <x:c r="F32" s="38"/>
      <x:c r="G32" s="2"/>
      <x:c r="H32" s="2"/>
      <x:c r="I32" s="2"/>
      <x:c r="J32" s="38"/>
    </x:row>
    <x:row r="33" ht="29" customHeight="1">
      <x:c r="A33" s="2"/>
      <x:c r="B33" s="32" t="str">
        <x:v>Gesamt</x:v>
      </x:c>
      <x:c r="C33" s="32"/>
      <x:c r="D33" s="36" t="n">
        <x:f>SUM(D16:D31)</x:f>
        <x:v>3896.8899999999994</x:v>
      </x:c>
      <x:c r="E33" s="36" t="n">
        <x:f>SUM(E16:E31)</x:f>
        <x:v>3261.6099999999997</x:v>
      </x:c>
      <x:c r="F33" s="36" t="n">
        <x:f>SUM(F16:F31)</x:f>
        <x:v>635.28</x:v>
      </x:c>
      <x:c r="G33" s="32"/>
      <x:c r="H33" s="32"/>
      <x:c r="I33" s="32"/>
      <x:c r="J33" s="36" t="n">
        <x:f>SUM(J16:J31)</x:f>
        <x:v>0</x:v>
      </x:c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42" customHeight="1">
      <x:c r="A36" s="2"/>
      <x:c r="B36" s="13" t="str">
        <x:v>Person-ID</x:v>
      </x:c>
      <x:c r="C36" s="14" t="str">
        <x:v>Gründerin oder Gründer</x:v>
      </x:c>
      <x:c r="D36" s="14" t="str">
        <x:v>Kosten EUR</x:v>
      </x:c>
      <x:c r="E36" s="14" t="str">
        <x:v>Privat getragen EUR</x:v>
      </x:c>
      <x:c r="F36" s="15" t="str">
        <x:v>Offen EUR</x:v>
      </x:c>
      <x:c r="G36" s="2"/>
      <x:c r="H36" s="2"/>
      <x:c r="I36" s="2"/>
      <x:c r="J36" s="2"/>
    </x:row>
    <x:row r="37" ht="33" customHeight="1">
      <x:c r="A37" s="2"/>
      <x:c r="B37" s="2" t="str">
        <x:v>F01</x:v>
      </x:c>
      <x:c r="C37" s="24" t="str">
        <x:v>Ottilie Kühnle</x:v>
      </x:c>
      <x:c r="D37" s="22" t="n">
        <x:f>SUMIFS(D$16:D$31,$C$16:$C$31,C37)</x:f>
        <x:v>344.98</x:v>
      </x:c>
      <x:c r="E37" s="22" t="n">
        <x:f>SUMIFS(E$16:E$31,$C$16:$C$31,C37)</x:f>
        <x:v>344.98</x:v>
      </x:c>
      <x:c r="F37" s="22" t="n">
        <x:f>SUMIFS(F$16:F$31,$C$16:$C$31,C37)</x:f>
        <x:v>0</x:v>
      </x:c>
      <x:c r="G37" s="2"/>
      <x:c r="H37" s="2"/>
      <x:c r="I37" s="2"/>
      <x:c r="J37" s="2"/>
    </x:row>
    <x:row r="38" ht="33" customHeight="1">
      <x:c r="A38" s="2"/>
      <x:c r="B38" s="2" t="str">
        <x:v>F02</x:v>
      </x:c>
      <x:c r="C38" s="24" t="str">
        <x:v>Eberhard Demir</x:v>
      </x:c>
      <x:c r="D38" s="22" t="n">
        <x:f>SUMIFS(D$16:D$31,$C$16:$C$31,C38)</x:f>
        <x:v>875.72</x:v>
      </x:c>
      <x:c r="E38" s="22" t="n">
        <x:f>SUMIFS(E$16:E$31,$C$16:$C$31,C38)</x:f>
        <x:v>625.9200000000001</x:v>
      </x:c>
      <x:c r="F38" s="22" t="n">
        <x:f>SUMIFS(F$16:F$31,$C$16:$C$31,C38)</x:f>
        <x:v>249.8</x:v>
      </x:c>
      <x:c r="G38" s="2"/>
      <x:c r="H38" s="2"/>
      <x:c r="I38" s="2"/>
      <x:c r="J38" s="2"/>
    </x:row>
    <x:row r="39" ht="33" customHeight="1">
      <x:c r="A39" s="2"/>
      <x:c r="B39" s="2" t="str">
        <x:v>F03</x:v>
      </x:c>
      <x:c r="C39" s="24" t="str">
        <x:v>Kunigunde Nguyen</x:v>
      </x:c>
      <x:c r="D39" s="22" t="n">
        <x:f>SUMIFS(D$16:D$31,$C$16:$C$31,C39)</x:f>
        <x:v>1195.95</x:v>
      </x:c>
      <x:c r="E39" s="22" t="n">
        <x:f>SUMIFS(E$16:E$31,$C$16:$C$31,C39)</x:f>
        <x:v>1195.95</x:v>
      </x:c>
      <x:c r="F39" s="22" t="n">
        <x:f>SUMIFS(F$16:F$31,$C$16:$C$31,C39)</x:f>
        <x:v>0</x:v>
      </x:c>
      <x:c r="G39" s="2"/>
      <x:c r="H39" s="2"/>
      <x:c r="I39" s="2"/>
      <x:c r="J39" s="2"/>
    </x:row>
    <x:row r="40" ht="33" customHeight="1">
      <x:c r="A40" s="2"/>
      <x:c r="B40" s="2" t="str">
        <x:v>F04</x:v>
      </x:c>
      <x:c r="C40" s="24" t="str">
        <x:v>Nepomuk Huber</x:v>
      </x:c>
      <x:c r="D40" s="22" t="n">
        <x:f>SUMIFS(D$16:D$31,$C$16:$C$31,C40)</x:f>
        <x:v>237.88</x:v>
      </x:c>
      <x:c r="E40" s="22" t="n">
        <x:f>SUMIFS(E$16:E$31,$C$16:$C$31,C40)</x:f>
        <x:v>237.88</x:v>
      </x:c>
      <x:c r="F40" s="22" t="n">
        <x:f>SUMIFS(F$16:F$31,$C$16:$C$31,C40)</x:f>
        <x:v>0</x:v>
      </x:c>
      <x:c r="G40" s="2"/>
      <x:c r="H40" s="2"/>
      <x:c r="I40" s="2"/>
      <x:c r="J40" s="2"/>
    </x:row>
    <x:row r="41" ht="33" customHeight="1">
      <x:c r="A41" s="2"/>
      <x:c r="B41" s="2" t="str">
        <x:v>F05</x:v>
      </x:c>
      <x:c r="C41" s="24" t="str">
        <x:v>Wilhelmine Okafor</x:v>
      </x:c>
      <x:c r="D41" s="22" t="n">
        <x:f>SUMIFS(D$16:D$31,$C$16:$C$31,C41)</x:f>
        <x:v>310.59000000000003</x:v>
      </x:c>
      <x:c r="E41" s="22" t="n">
        <x:f>SUMIFS(E$16:E$31,$C$16:$C$31,C41)</x:f>
        <x:v>224.91</x:v>
      </x:c>
      <x:c r="F41" s="22" t="n">
        <x:f>SUMIFS(F$16:F$31,$C$16:$C$31,C41)</x:f>
        <x:v>85.68</x:v>
      </x:c>
      <x:c r="G41" s="2"/>
      <x:c r="H41" s="2"/>
      <x:c r="I41" s="2"/>
      <x:c r="J41" s="2"/>
    </x:row>
    <x:row r="42" ht="33" customHeight="1">
      <x:c r="A42" s="2"/>
      <x:c r="B42" s="2" t="str">
        <x:v>F06</x:v>
      </x:c>
      <x:c r="C42" s="24" t="str">
        <x:v>Alois Rossi</x:v>
      </x:c>
      <x:c r="D42" s="22" t="n">
        <x:f>SUMIFS(D$16:D$31,$C$16:$C$31,C42)</x:f>
        <x:v>431.96999999999997</x:v>
      </x:c>
      <x:c r="E42" s="22" t="n">
        <x:f>SUMIFS(E$16:E$31,$C$16:$C$31,C42)</x:f>
        <x:v>431.96999999999997</x:v>
      </x:c>
      <x:c r="F42" s="22" t="n">
        <x:f>SUMIFS(F$16:F$31,$C$16:$C$31,C42)</x:f>
        <x:v>0</x:v>
      </x:c>
      <x:c r="G42" s="2"/>
      <x:c r="H42" s="2"/>
      <x:c r="I42" s="2"/>
      <x:c r="J42" s="2"/>
    </x:row>
    <x:row r="43" ht="33" customHeight="1">
      <x:c r="A43" s="2"/>
      <x:c r="B43" s="2" t="str">
        <x:v>F07</x:v>
      </x:c>
      <x:c r="C43" s="24" t="str">
        <x:v>Thekla Ben-Ami</x:v>
      </x:c>
      <x:c r="D43" s="22" t="n">
        <x:f>SUMIFS(D$16:D$31,$C$16:$C$31,C43)</x:f>
        <x:v>499.8</x:v>
      </x:c>
      <x:c r="E43" s="22" t="n">
        <x:f>SUMIFS(E$16:E$31,$C$16:$C$31,C43)</x:f>
        <x:v>200</x:v>
      </x:c>
      <x:c r="F43" s="22" t="n">
        <x:f>SUMIFS(F$16:F$31,$C$16:$C$31,C43)</x:f>
        <x:v>299.8</x:v>
      </x:c>
      <x:c r="G43" s="2"/>
      <x:c r="H43" s="2"/>
      <x:c r="I43" s="2"/>
      <x:c r="J43" s="2"/>
    </x:row>
    <x:row r="44" ht="2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5" customHeight="1">
      <x:c r="A45" s="2"/>
      <x:c r="B45" s="25" t="str">
        <x:v>Die Freigabefelder sind Dokumentationsfelder; ein Eintrag ersetzt keinen Beschluss und löst keine Zahlung aus.</x:v>
      </x:c>
      <x:c r="C45" s="2"/>
      <x:c r="D45" s="2"/>
      <x:c r="E45" s="2"/>
      <x:c r="F45" s="2"/>
      <x:c r="G45" s="2"/>
      <x:c r="H45" s="2"/>
      <x:c r="I45" s="2"/>
      <x:c r="J45" s="2"/>
    </x:row>
    <x:row r="46" ht="25" customHeight="1">
      <x:c r="A46" s="2"/>
      <x:c r="B46" s="25" t="str">
        <x:v>Die spätere Zuordnung von Eigentum, Lizenzen und Rechnungen ist mit den jeweiligen Personen zu klären.</x:v>
      </x:c>
      <x:c r="C46" s="2"/>
      <x:c r="D46" s="2"/>
      <x:c r="E46" s="2"/>
      <x:c r="F46" s="2"/>
      <x:c r="G46" s="2"/>
      <x:c r="H46" s="2"/>
      <x:c r="I46" s="2"/>
      <x:c r="J46" s="2"/>
    </x:row>
    <x:row r="47" ht="25" customHeight="1">
      <x:c r="A47" s="2"/>
      <x:c r="B47" s="25" t="str">
        <x:v>Quelle des Altstands: 51_Auslagen_und_Liquiditaetsplanung.xlsx und die einzelnen Kostenbelege.</x:v>
      </x:c>
      <x:c r="C47" s="2"/>
      <x:c r="D47" s="2"/>
      <x:c r="E47" s="2"/>
      <x:c r="F47" s="2"/>
      <x:c r="G47" s="2"/>
      <x:c r="H47" s="2"/>
      <x:c r="I47" s="2"/>
      <x:c r="J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</x:sheetData>
  <x:conditionalFormatting sqref="F16:F31">
    <x:cfRule type="cellIs" dxfId="0" priority="1" operator="greaterThan">
      <x:formula>0</x:formula>
    </x:cfRule>
  </x:conditionalFormatting>
  <x:dataValidations count="1">
    <x:dataValidation type="list" sqref="G16:I31">
      <x:formula1>"Offen,Ja,Nein"</x:formula1>
    </x:dataValidation>
  </x:dataValidations>
  <x:rowBreaks count="2" manualBreakCount="2">
    <x:brk id="14" min="0" max="16383" man="1"/>
    <x:brk id="34" min="0" max="16383" man="1"/>
  </x:rowBreaks>
  <x:pageMargins left="0.25" right="0.25" top="0.3" bottom="0.3" header="0.1" footer="0.1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tabColor rgb="FF244763"/>
    <x:pageSetUpPr fitToPage="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12" hidden="0" customWidth="1"/>
    <x:col min="3" max="3" width="12" hidden="0" customWidth="1"/>
    <x:col min="4" max="4" width="20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2.220000267028809" hidden="0" customWidth="1"/>
    <x:col min="9" max="9" width="10" hidden="0" customWidth="1"/>
    <x:col min="10" max="10" width="42.77999877929687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2"/>
      <x:c r="B2" s="3" t="str">
        <x:v>Private Kostenbelege und Gutschriften</x:v>
      </x:c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 t="str">
        <x:v>Ottilie Kühnle · Nachreichung 28.09.2026, 14:20 Uhr</x:v>
      </x:c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  <x:c r="J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2"/>
      <x:c r="B6" s="13" t="str">
        <x:v>Beleg-ID</x:v>
      </x:c>
      <x:c r="C6" s="14" t="str">
        <x:v>Bezug</x:v>
      </x:c>
      <x:c r="D6" s="14" t="str">
        <x:v>Privatperson</x:v>
      </x:c>
      <x:c r="E6" s="14" t="str">
        <x:v>Datum</x:v>
      </x:c>
      <x:c r="F6" s="14" t="str">
        <x:v>Netto EUR</x:v>
      </x:c>
      <x:c r="G6" s="14" t="str">
        <x:v>USt EUR</x:v>
      </x:c>
      <x:c r="H6" s="14" t="str">
        <x:v>Brutto EUR</x:v>
      </x:c>
      <x:c r="I6" s="14" t="str">
        <x:v>Stand</x:v>
      </x:c>
      <x:c r="J6" s="15" t="str">
        <x:v>Quelldatei</x:v>
      </x:c>
    </x:row>
    <x:row r="7" ht="40" customHeight="1">
      <x:c r="A7" s="2"/>
      <x:c r="B7" s="2" t="str">
        <x:v>SF-A001</x:v>
      </x:c>
      <x:c r="C7" s="2" t="str">
        <x:v>SF-A001</x:v>
      </x:c>
      <x:c r="D7" s="24" t="str">
        <x:v>Ottilie Kühnle</x:v>
      </x:c>
      <x:c r="E7" s="23" t="n">
        <x:v>46258</x:v>
      </x:c>
      <x:c r="F7" s="20" t="n">
        <x:v>11.9</x:v>
      </x:c>
      <x:c r="G7" s="20" t="n">
        <x:v>2.26</x:v>
      </x:c>
      <x:c r="H7" s="22" t="n">
        <x:f>ROUND(SUM(F7:G7),2)</x:f>
        <x:v>14.16</x:v>
      </x:c>
      <x:c r="I7" s="2" t="str">
        <x:v>08:40</x:v>
      </x:c>
      <x:c r="J7" s="24" t="str">
        <x:v>60_01_Rechnung_SF-A001.pdf</x:v>
      </x:c>
    </x:row>
    <x:row r="8" ht="40" customHeight="1">
      <x:c r="A8" s="2"/>
      <x:c r="B8" s="2" t="str">
        <x:v>SF-A002</x:v>
      </x:c>
      <x:c r="C8" s="2" t="str">
        <x:v>SF-A002</x:v>
      </x:c>
      <x:c r="D8" s="24" t="str">
        <x:v>Eberhard Demir</x:v>
      </x:c>
      <x:c r="E8" s="23" t="n">
        <x:v>46262</x:v>
      </x:c>
      <x:c r="F8" s="20" t="n">
        <x:v>300</x:v>
      </x:c>
      <x:c r="G8" s="20" t="n">
        <x:v>57</x:v>
      </x:c>
      <x:c r="H8" s="22" t="n">
        <x:f>ROUND(SUM(F8:G8),2)</x:f>
        <x:v>357</x:v>
      </x:c>
      <x:c r="I8" s="2" t="str">
        <x:v>08:40</x:v>
      </x:c>
      <x:c r="J8" s="24" t="str">
        <x:v>60_02_Rechnung_SF-A002.pdf</x:v>
      </x:c>
    </x:row>
    <x:row r="9" ht="40" customHeight="1">
      <x:c r="A9" s="2"/>
      <x:c r="B9" s="2" t="str">
        <x:v>SF-A003</x:v>
      </x:c>
      <x:c r="C9" s="2" t="str">
        <x:v>SF-A003</x:v>
      </x:c>
      <x:c r="D9" s="24" t="str">
        <x:v>Nepomuk Huber</x:v>
      </x:c>
      <x:c r="E9" s="23" t="n">
        <x:v>46266</x:v>
      </x:c>
      <x:c r="F9" s="20" t="n">
        <x:v>180</x:v>
      </x:c>
      <x:c r="G9" s="20" t="n">
        <x:v>34.2</x:v>
      </x:c>
      <x:c r="H9" s="22" t="n">
        <x:f>ROUND(SUM(F9:G9),2)</x:f>
        <x:v>214.2</x:v>
      </x:c>
      <x:c r="I9" s="2" t="str">
        <x:v>08:40</x:v>
      </x:c>
      <x:c r="J9" s="24" t="str">
        <x:v>60_03_Rechnung_SF-A003.pdf</x:v>
      </x:c>
    </x:row>
    <x:row r="10" ht="40" customHeight="1">
      <x:c r="A10" s="2"/>
      <x:c r="B10" s="2" t="str">
        <x:v>SF-A004</x:v>
      </x:c>
      <x:c r="C10" s="2" t="str">
        <x:v>SF-A004</x:v>
      </x:c>
      <x:c r="D10" s="24" t="str">
        <x:v>Kunigunde Nguyen</x:v>
      </x:c>
      <x:c r="E10" s="23" t="n">
        <x:v>46269</x:v>
      </x:c>
      <x:c r="F10" s="20" t="n">
        <x:v>790</x:v>
      </x:c>
      <x:c r="G10" s="20" t="n">
        <x:v>150.1</x:v>
      </x:c>
      <x:c r="H10" s="22" t="n">
        <x:f>ROUND(SUM(F10:G10),2)</x:f>
        <x:v>940.1</x:v>
      </x:c>
      <x:c r="I10" s="2" t="str">
        <x:v>08:40</x:v>
      </x:c>
      <x:c r="J10" s="24" t="str">
        <x:v>60_04_Rechnung_SF-A004.pdf</x:v>
      </x:c>
    </x:row>
    <x:row r="11" ht="40" customHeight="1">
      <x:c r="A11" s="2"/>
      <x:c r="B11" s="2" t="str">
        <x:v>SF-A005</x:v>
      </x:c>
      <x:c r="C11" s="2" t="str">
        <x:v>SF-A005</x:v>
      </x:c>
      <x:c r="D11" s="24" t="str">
        <x:v>Alois Rossi</x:v>
      </x:c>
      <x:c r="E11" s="23" t="n">
        <x:v>46272</x:v>
      </x:c>
      <x:c r="F11" s="20" t="n">
        <x:v>260</x:v>
      </x:c>
      <x:c r="G11" s="20" t="n">
        <x:v>49.4</x:v>
      </x:c>
      <x:c r="H11" s="22" t="n">
        <x:f>ROUND(SUM(F11:G11),2)</x:f>
        <x:v>309.4</x:v>
      </x:c>
      <x:c r="I11" s="2" t="str">
        <x:v>08:40</x:v>
      </x:c>
      <x:c r="J11" s="24" t="str">
        <x:v>60_05_Rechnung_SF-A005.pdf</x:v>
      </x:c>
    </x:row>
    <x:row r="12" ht="40" customHeight="1">
      <x:c r="A12" s="2"/>
      <x:c r="B12" s="2" t="str">
        <x:v>SF-A006</x:v>
      </x:c>
      <x:c r="C12" s="2" t="str">
        <x:v>SF-A006</x:v>
      </x:c>
      <x:c r="D12" s="24" t="str">
        <x:v>Alois Rossi</x:v>
      </x:c>
      <x:c r="E12" s="23" t="n">
        <x:v>46274</x:v>
      </x:c>
      <x:c r="F12" s="20" t="n">
        <x:v>129</x:v>
      </x:c>
      <x:c r="G12" s="20" t="n">
        <x:v>24.51</x:v>
      </x:c>
      <x:c r="H12" s="22" t="n">
        <x:f>ROUND(SUM(F12:G12),2)</x:f>
        <x:v>153.51</x:v>
      </x:c>
      <x:c r="I12" s="2" t="str">
        <x:v>08:40</x:v>
      </x:c>
      <x:c r="J12" s="24" t="str">
        <x:v>60_06_Rechnung_SF-A006.pdf</x:v>
      </x:c>
    </x:row>
    <x:row r="13" ht="40" customHeight="1">
      <x:c r="A13" s="2"/>
      <x:c r="B13" s="2" t="str">
        <x:v>SF-A007</x:v>
      </x:c>
      <x:c r="C13" s="2" t="str">
        <x:v>SF-A007</x:v>
      </x:c>
      <x:c r="D13" s="24" t="str">
        <x:v>Thekla Ben-Ami</x:v>
      </x:c>
      <x:c r="E13" s="23" t="n">
        <x:v>46277</x:v>
      </x:c>
      <x:c r="F13" s="20" t="n">
        <x:v>420</x:v>
      </x:c>
      <x:c r="G13" s="20" t="n">
        <x:v>79.8</x:v>
      </x:c>
      <x:c r="H13" s="22" t="n">
        <x:f>ROUND(SUM(F13:G13),2)</x:f>
        <x:v>499.8</x:v>
      </x:c>
      <x:c r="I13" s="2" t="str">
        <x:v>08:40</x:v>
      </x:c>
      <x:c r="J13" s="24" t="str">
        <x:v>60_07_Rechnung_SF-A007.pdf</x:v>
      </x:c>
    </x:row>
    <x:row r="14" ht="40" customHeight="1">
      <x:c r="A14" s="2"/>
      <x:c r="B14" s="2" t="str">
        <x:v>SF-A008</x:v>
      </x:c>
      <x:c r="C14" s="2" t="str">
        <x:v>SF-A008</x:v>
      </x:c>
      <x:c r="D14" s="24" t="str">
        <x:v>Wilhelmine Okafor</x:v>
      </x:c>
      <x:c r="E14" s="23" t="n">
        <x:v>46279</x:v>
      </x:c>
      <x:c r="F14" s="20" t="n">
        <x:v>189</x:v>
      </x:c>
      <x:c r="G14" s="20" t="n">
        <x:v>35.91</x:v>
      </x:c>
      <x:c r="H14" s="22" t="n">
        <x:f>ROUND(SUM(F14:G14),2)</x:f>
        <x:v>224.91</x:v>
      </x:c>
      <x:c r="I14" s="2" t="str">
        <x:v>08:40</x:v>
      </x:c>
      <x:c r="J14" s="24" t="str">
        <x:v>60_08_Rechnung_SF-A008.pdf</x:v>
      </x:c>
    </x:row>
    <x:row r="15" ht="40" customHeight="1">
      <x:c r="A15" s="2"/>
      <x:c r="B15" s="2" t="str">
        <x:v>SF-A009</x:v>
      </x:c>
      <x:c r="C15" s="2" t="str">
        <x:v>SF-A009</x:v>
      </x:c>
      <x:c r="D15" s="24" t="str">
        <x:v>Kunigunde Nguyen</x:v>
      </x:c>
      <x:c r="E15" s="23" t="n">
        <x:v>46283</x:v>
      </x:c>
      <x:c r="F15" s="20" t="n">
        <x:v>65</x:v>
      </x:c>
      <x:c r="G15" s="20" t="n">
        <x:v>12.35</x:v>
      </x:c>
      <x:c r="H15" s="22" t="n">
        <x:f>ROUND(SUM(F15:G15),2)</x:f>
        <x:v>77.35</x:v>
      </x:c>
      <x:c r="I15" s="2" t="str">
        <x:v>08:40</x:v>
      </x:c>
      <x:c r="J15" s="24" t="str">
        <x:v>60_09_Rechnung_SF-A009.pdf</x:v>
      </x:c>
    </x:row>
    <x:row r="16" ht="40" customHeight="1">
      <x:c r="A16" s="2"/>
      <x:c r="B16" s="2" t="str">
        <x:v>SF-A010</x:v>
      </x:c>
      <x:c r="C16" s="2" t="str">
        <x:v>SF-A010</x:v>
      </x:c>
      <x:c r="D16" s="24" t="str">
        <x:v>Ottilie Kühnle</x:v>
      </x:c>
      <x:c r="E16" s="23" t="n">
        <x:v>46286</x:v>
      </x:c>
      <x:c r="F16" s="20" t="n">
        <x:v>180</x:v>
      </x:c>
      <x:c r="G16" s="20" t="n">
        <x:v>34.2</x:v>
      </x:c>
      <x:c r="H16" s="22" t="n">
        <x:f>ROUND(SUM(F16:G16),2)</x:f>
        <x:v>214.2</x:v>
      </x:c>
      <x:c r="I16" s="2" t="str">
        <x:v>08:40</x:v>
      </x:c>
      <x:c r="J16" s="24" t="str">
        <x:v>60_10_Rechnung_SF-A010.pdf</x:v>
      </x:c>
    </x:row>
    <x:row r="17" ht="40" customHeight="1">
      <x:c r="A17" s="2"/>
      <x:c r="B17" s="2" t="str">
        <x:v>SF-A011</x:v>
      </x:c>
      <x:c r="C17" s="2" t="str">
        <x:v>SF-A005</x:v>
      </x:c>
      <x:c r="D17" s="24" t="str">
        <x:v>Alois Rossi</x:v>
      </x:c>
      <x:c r="E17" s="23" t="n">
        <x:v>46287</x:v>
      </x:c>
      <x:c r="F17" s="20" t="n">
        <x:v>-26</x:v>
      </x:c>
      <x:c r="G17" s="20" t="n">
        <x:v>-4.94</x:v>
      </x:c>
      <x:c r="H17" s="22" t="n">
        <x:f>ROUND(SUM(F17:G17),2)</x:f>
        <x:v>-30.94</x:v>
      </x:c>
      <x:c r="I17" s="2" t="str">
        <x:v>08:40</x:v>
      </x:c>
      <x:c r="J17" s="24" t="str">
        <x:v>61_01_Gutschrift_SF-A011.pdf</x:v>
      </x:c>
    </x:row>
    <x:row r="18" ht="40" customHeight="1">
      <x:c r="A18" s="2"/>
      <x:c r="B18" s="2" t="str">
        <x:v>SF-A012</x:v>
      </x:c>
      <x:c r="C18" s="2" t="str">
        <x:v>SF-A012</x:v>
      </x:c>
      <x:c r="D18" s="24" t="str">
        <x:v>Ottilie Kühnle</x:v>
      </x:c>
      <x:c r="E18" s="23" t="n">
        <x:v>46290</x:v>
      </x:c>
      <x:c r="F18" s="20" t="n">
        <x:v>98</x:v>
      </x:c>
      <x:c r="G18" s="20" t="n">
        <x:v>18.62</x:v>
      </x:c>
      <x:c r="H18" s="22" t="n">
        <x:f>ROUND(SUM(F18:G18),2)</x:f>
        <x:v>116.62</x:v>
      </x:c>
      <x:c r="I18" s="2" t="str">
        <x:v>08:40</x:v>
      </x:c>
      <x:c r="J18" s="24" t="str">
        <x:v>60_11_Rechnung_SF-A012.pdf</x:v>
      </x:c>
    </x:row>
    <x:row r="19" ht="40" customHeight="1">
      <x:c r="A19" s="2"/>
      <x:c r="B19" s="2" t="str">
        <x:v>SF-A013</x:v>
      </x:c>
      <x:c r="C19" s="2" t="str">
        <x:v>SF-A013</x:v>
      </x:c>
      <x:c r="D19" s="24" t="str">
        <x:v>Eberhard Demir</x:v>
      </x:c>
      <x:c r="E19" s="23" t="n">
        <x:v>46288</x:v>
      </x:c>
      <x:c r="F19" s="20" t="n">
        <x:v>15.9</x:v>
      </x:c>
      <x:c r="G19" s="20" t="n">
        <x:v>3.02</x:v>
      </x:c>
      <x:c r="H19" s="22" t="n">
        <x:f>ROUND(SUM(F19:G19),2)</x:f>
        <x:v>18.92</x:v>
      </x:c>
      <x:c r="I19" s="2" t="str">
        <x:v>08:40</x:v>
      </x:c>
      <x:c r="J19" s="24" t="str">
        <x:v>60_12_Rechnung_SF-A013.pdf</x:v>
      </x:c>
    </x:row>
    <x:row r="20" ht="40" customHeight="1">
      <x:c r="A20" s="2"/>
      <x:c r="B20" s="2" t="str">
        <x:v>SF-A014</x:v>
      </x:c>
      <x:c r="C20" s="2" t="str">
        <x:v>SF-A014</x:v>
      </x:c>
      <x:c r="D20" s="24" t="str">
        <x:v>Eberhard Demir</x:v>
      </x:c>
      <x:c r="E20" s="23" t="n">
        <x:v>46291</x:v>
      </x:c>
      <x:c r="F20" s="20" t="n">
        <x:v>420</x:v>
      </x:c>
      <x:c r="G20" s="20" t="n">
        <x:v>79.8</x:v>
      </x:c>
      <x:c r="H20" s="22" t="n">
        <x:f>ROUND(SUM(F20:G20),2)</x:f>
        <x:v>499.8</x:v>
      </x:c>
      <x:c r="I20" s="2" t="str">
        <x:v>14:20</x:v>
      </x:c>
      <x:c r="J20" s="24" t="str">
        <x:v>130_Rechnung_SF-A014_Werkraum.pdf</x:v>
      </x:c>
    </x:row>
    <x:row r="21" ht="40" customHeight="1">
      <x:c r="A21" s="2"/>
      <x:c r="B21" s="2" t="str">
        <x:v>SF-A016</x:v>
      </x:c>
      <x:c r="C21" s="2" t="str">
        <x:v>SF-A016</x:v>
      </x:c>
      <x:c r="D21" s="24" t="str">
        <x:v>Kunigunde Nguyen</x:v>
      </x:c>
      <x:c r="E21" s="23" t="n">
        <x:v>46288</x:v>
      </x:c>
      <x:c r="F21" s="20" t="n">
        <x:v>185</x:v>
      </x:c>
      <x:c r="G21" s="20" t="n">
        <x:v>35.15</x:v>
      </x:c>
      <x:c r="H21" s="22" t="n">
        <x:f>ROUND(SUM(F21:G21),2)</x:f>
        <x:v>220.15</x:v>
      </x:c>
      <x:c r="I21" s="2" t="str">
        <x:v>14:20</x:v>
      </x:c>
      <x:c r="J21" s="24" t="str">
        <x:v>132_Rechnung_SF-A016_Optikhalter.pdf</x:v>
      </x:c>
    </x:row>
    <x:row r="22" ht="40" customHeight="1">
      <x:c r="A22" s="2"/>
      <x:c r="B22" s="2" t="str">
        <x:v>SF-A017</x:v>
      </x:c>
      <x:c r="C22" s="2" t="str">
        <x:v>SF-A016</x:v>
      </x:c>
      <x:c r="D22" s="24" t="str">
        <x:v>Kunigunde Nguyen</x:v>
      </x:c>
      <x:c r="E22" s="23" t="n">
        <x:v>46291</x:v>
      </x:c>
      <x:c r="F22" s="20" t="n">
        <x:v>-35</x:v>
      </x:c>
      <x:c r="G22" s="20" t="n">
        <x:v>-6.65</x:v>
      </x:c>
      <x:c r="H22" s="22" t="n">
        <x:f>ROUND(SUM(F22:G22),2)</x:f>
        <x:v>-41.65</x:v>
      </x:c>
      <x:c r="I22" s="2" t="str">
        <x:v>14:20</x:v>
      </x:c>
      <x:c r="J22" s="24" t="str">
        <x:v>133_Gutschrift_SF-A017_Optikhalter.pdf</x:v>
      </x:c>
    </x:row>
    <x:row r="23" ht="40" customHeight="1">
      <x:c r="A23" s="2"/>
      <x:c r="B23" s="2" t="str">
        <x:v>SF-A021</x:v>
      </x:c>
      <x:c r="C23" s="2" t="str">
        <x:v>SF-A021</x:v>
      </x:c>
      <x:c r="D23" s="24" t="str">
        <x:v>Wilhelmine Okafor</x:v>
      </x:c>
      <x:c r="E23" s="23" t="n">
        <x:v>46292</x:v>
      </x:c>
      <x:c r="F23" s="20" t="n">
        <x:v>72</x:v>
      </x:c>
      <x:c r="G23" s="20" t="n">
        <x:v>13.68</x:v>
      </x:c>
      <x:c r="H23" s="22" t="n">
        <x:f>ROUND(SUM(F23:G23),2)</x:f>
        <x:v>85.68</x:v>
      </x:c>
      <x:c r="I23" s="2" t="str">
        <x:v>14:20</x:v>
      </x:c>
      <x:c r="J23" s="24" t="str">
        <x:v>137_Rechnung_SF-A021_Formularsatz.pdf</x:v>
      </x:c>
    </x:row>
    <x:row r="24" ht="40" customHeight="1">
      <x:c r="A24" s="2"/>
      <x:c r="B24" s="2" t="str">
        <x:v>SF-A022</x:v>
      </x:c>
      <x:c r="C24" s="2" t="str">
        <x:v>SF-A022</x:v>
      </x:c>
      <x:c r="D24" s="24" t="str">
        <x:v>Nepomuk Huber</x:v>
      </x:c>
      <x:c r="E24" s="23" t="n">
        <x:v>46291</x:v>
      </x:c>
      <x:c r="F24" s="20" t="n">
        <x:v>19.9</x:v>
      </x:c>
      <x:c r="G24" s="20" t="n">
        <x:v>3.78</x:v>
      </x:c>
      <x:c r="H24" s="22" t="n">
        <x:f>ROUND(SUM(F24:G24),2)</x:f>
        <x:v>23.68</x:v>
      </x:c>
      <x:c r="I24" s="2" t="str">
        <x:v>14:20</x:v>
      </x:c>
      <x:c r="J24" s="24" t="str">
        <x:v>138_Rechnung_SF-A022_Kurier.pdf</x:v>
      </x:c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5" customHeight="1">
      <x:c r="A27" s="2"/>
      <x:c r="B27" s="25" t="str">
        <x:v>Gutschriften mindern den Rechnungsbezug. Die Bruttosumme ist keine Vorsteuerabrechnung.</x:v>
      </x:c>
      <x:c r="C27" s="2"/>
      <x:c r="D27" s="2"/>
      <x:c r="E27" s="2"/>
      <x:c r="F27" s="2"/>
      <x:c r="G27" s="2"/>
      <x:c r="H27" s="2"/>
      <x:c r="I27" s="2"/>
      <x:c r="J27" s="2"/>
    </x:row>
    <x:row r="28" ht="25" customHeight="1">
      <x:c r="A28" s="2"/>
      <x:c r="B28" s="25" t="str">
        <x:v>08:40 = aus Datei 51 übernommen; 14:20 = erstmals nachgereicht. Beträge auf Cent gerundet.</x:v>
      </x:c>
      <x:c r="C28" s="2"/>
      <x:c r="D28" s="2"/>
      <x:c r="E28" s="2"/>
      <x:c r="F28" s="2"/>
      <x:c r="G28" s="2"/>
      <x:c r="H28" s="2"/>
      <x:c r="I28" s="2"/>
      <x:c r="J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</x:sheetData>
  <x:pageMargins left="0.25" right="0.25" top="0.3" bottom="0.3" header="0.1" footer="0.1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tabColor rgb="FF244763"/>
    <x:pageSetUpPr fitToPage="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13.109999656677246" hidden="0" customWidth="1"/>
    <x:col min="3" max="3" width="12" hidden="0" customWidth="1"/>
    <x:col min="4" max="4" width="20" hidden="0" customWidth="1"/>
    <x:col min="5" max="5" width="12.220000267028809" hidden="0" customWidth="1"/>
    <x:col min="6" max="6" width="12.779999732971191" hidden="0" customWidth="1"/>
    <x:col min="7" max="7" width="17.780000686645508" hidden="0" customWidth="1"/>
    <x:col min="8" max="8" width="10.5600004196167" hidden="0" customWidth="1"/>
    <x:col min="9" max="9" width="43.3300018310546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2"/>
      <x:c r="B2" s="3" t="str">
        <x:v>Private Zahlungen und Rückflüsse</x:v>
      </x:c>
      <x:c r="C2" s="2"/>
      <x:c r="D2" s="2"/>
      <x:c r="E2" s="2"/>
      <x:c r="F2" s="2"/>
      <x:c r="G2" s="2"/>
      <x:c r="H2" s="2"/>
      <x:c r="I2" s="2"/>
    </x:row>
    <x:row r="3" ht="25" customHeight="1">
      <x:c r="A3" s="2"/>
      <x:c r="B3" s="2" t="str">
        <x:v>Ottilie Kühnle · Nachreichung 28.09.2026, 14:20 Uhr</x:v>
      </x:c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4"/>
      <x:c r="C4" s="4"/>
      <x:c r="D4" s="4"/>
      <x:c r="E4" s="4"/>
      <x:c r="F4" s="4"/>
      <x:c r="G4" s="4"/>
      <x:c r="H4" s="4"/>
      <x:c r="I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2"/>
      <x:c r="B6" s="13" t="str">
        <x:v>Nachweis-ID</x:v>
      </x:c>
      <x:c r="C6" s="14" t="str">
        <x:v>Bezug</x:v>
      </x:c>
      <x:c r="D6" s="14" t="str">
        <x:v>Privatperson</x:v>
      </x:c>
      <x:c r="E6" s="14" t="str">
        <x:v>Zahlungstag</x:v>
      </x:c>
      <x:c r="F6" s="14" t="str">
        <x:v>Betrag EUR</x:v>
      </x:c>
      <x:c r="G6" s="14" t="str">
        <x:v>Nachweisart</x:v>
      </x:c>
      <x:c r="H6" s="14" t="str">
        <x:v>Stand</x:v>
      </x:c>
      <x:c r="I6" s="15" t="str">
        <x:v>Quelldatei</x:v>
      </x:c>
    </x:row>
    <x:row r="7" ht="42" customHeight="1">
      <x:c r="A7" s="2"/>
      <x:c r="B7" s="2" t="str">
        <x:v>SF-A001-Z</x:v>
      </x:c>
      <x:c r="C7" s="2" t="str">
        <x:v>SF-A001</x:v>
      </x:c>
      <x:c r="D7" s="24" t="str">
        <x:v>Ottilie Kühnle</x:v>
      </x:c>
      <x:c r="E7" s="26" t="n">
        <x:v>46258</x:v>
      </x:c>
      <x:c r="F7" s="27" t="n">
        <x:v>14.16</x:v>
      </x:c>
      <x:c r="G7" s="24" t="str">
        <x:v>Angabe im Altbeleg</x:v>
      </x:c>
      <x:c r="H7" s="24" t="str">
        <x:v>08:40</x:v>
      </x:c>
      <x:c r="I7" s="24" t="str">
        <x:v>60_01_Rechnung_SF-A001.pdf</x:v>
      </x:c>
    </x:row>
    <x:row r="8" ht="42" customHeight="1">
      <x:c r="A8" s="2"/>
      <x:c r="B8" s="2" t="str">
        <x:v>SF-A002-Z</x:v>
      </x:c>
      <x:c r="C8" s="2" t="str">
        <x:v>SF-A002</x:v>
      </x:c>
      <x:c r="D8" s="24" t="str">
        <x:v>Eberhard Demir</x:v>
      </x:c>
      <x:c r="E8" s="26" t="n">
        <x:v>46264</x:v>
      </x:c>
      <x:c r="F8" s="27" t="n">
        <x:v>357</x:v>
      </x:c>
      <x:c r="G8" s="24" t="str">
        <x:v>Angabe im Altbeleg</x:v>
      </x:c>
      <x:c r="H8" s="24" t="str">
        <x:v>08:40</x:v>
      </x:c>
      <x:c r="I8" s="24" t="str">
        <x:v>60_02_Rechnung_SF-A002.pdf</x:v>
      </x:c>
    </x:row>
    <x:row r="9" ht="42" customHeight="1">
      <x:c r="A9" s="2"/>
      <x:c r="B9" s="2" t="str">
        <x:v>SF-A003-Z</x:v>
      </x:c>
      <x:c r="C9" s="2" t="str">
        <x:v>SF-A003</x:v>
      </x:c>
      <x:c r="D9" s="24" t="str">
        <x:v>Nepomuk Huber</x:v>
      </x:c>
      <x:c r="E9" s="26" t="n">
        <x:v>46266</x:v>
      </x:c>
      <x:c r="F9" s="27" t="n">
        <x:v>214.2</x:v>
      </x:c>
      <x:c r="G9" s="24" t="str">
        <x:v>Angabe im Altbeleg</x:v>
      </x:c>
      <x:c r="H9" s="24" t="str">
        <x:v>08:40</x:v>
      </x:c>
      <x:c r="I9" s="24" t="str">
        <x:v>60_03_Rechnung_SF-A003.pdf</x:v>
      </x:c>
    </x:row>
    <x:row r="10" ht="42" customHeight="1">
      <x:c r="A10" s="2"/>
      <x:c r="B10" s="2" t="str">
        <x:v>SF-A004-Z</x:v>
      </x:c>
      <x:c r="C10" s="2" t="str">
        <x:v>SF-A004</x:v>
      </x:c>
      <x:c r="D10" s="24" t="str">
        <x:v>Kunigunde Nguyen</x:v>
      </x:c>
      <x:c r="E10" s="26" t="n">
        <x:v>46270</x:v>
      </x:c>
      <x:c r="F10" s="27" t="n">
        <x:v>940.1</x:v>
      </x:c>
      <x:c r="G10" s="24" t="str">
        <x:v>Angabe im Altbeleg</x:v>
      </x:c>
      <x:c r="H10" s="24" t="str">
        <x:v>08:40</x:v>
      </x:c>
      <x:c r="I10" s="24" t="str">
        <x:v>60_04_Rechnung_SF-A004.pdf</x:v>
      </x:c>
    </x:row>
    <x:row r="11" ht="42" customHeight="1">
      <x:c r="A11" s="2"/>
      <x:c r="B11" s="2" t="str">
        <x:v>SF-A005-Z</x:v>
      </x:c>
      <x:c r="C11" s="2" t="str">
        <x:v>SF-A005</x:v>
      </x:c>
      <x:c r="D11" s="24" t="str">
        <x:v>Alois Rossi</x:v>
      </x:c>
      <x:c r="E11" s="26" t="n">
        <x:v>46273</x:v>
      </x:c>
      <x:c r="F11" s="27" t="n">
        <x:v>309.4</x:v>
      </x:c>
      <x:c r="G11" s="24" t="str">
        <x:v>Angabe im Altbeleg</x:v>
      </x:c>
      <x:c r="H11" s="24" t="str">
        <x:v>08:40</x:v>
      </x:c>
      <x:c r="I11" s="24" t="str">
        <x:v>60_05_Rechnung_SF-A005.pdf</x:v>
      </x:c>
    </x:row>
    <x:row r="12" ht="42" customHeight="1">
      <x:c r="A12" s="2"/>
      <x:c r="B12" s="2" t="str">
        <x:v>SF-A006-Z</x:v>
      </x:c>
      <x:c r="C12" s="2" t="str">
        <x:v>SF-A006</x:v>
      </x:c>
      <x:c r="D12" s="24" t="str">
        <x:v>Alois Rossi</x:v>
      </x:c>
      <x:c r="E12" s="26" t="n">
        <x:v>46274</x:v>
      </x:c>
      <x:c r="F12" s="27" t="n">
        <x:v>153.51</x:v>
      </x:c>
      <x:c r="G12" s="24" t="str">
        <x:v>Angabe im Altbeleg</x:v>
      </x:c>
      <x:c r="H12" s="24" t="str">
        <x:v>08:40</x:v>
      </x:c>
      <x:c r="I12" s="24" t="str">
        <x:v>60_06_Rechnung_SF-A006.pdf</x:v>
      </x:c>
    </x:row>
    <x:row r="13" ht="42" customHeight="1">
      <x:c r="A13" s="2"/>
      <x:c r="B13" s="2" t="str">
        <x:v>SF-A008-Z</x:v>
      </x:c>
      <x:c r="C13" s="2" t="str">
        <x:v>SF-A008</x:v>
      </x:c>
      <x:c r="D13" s="24" t="str">
        <x:v>Wilhelmine Okafor</x:v>
      </x:c>
      <x:c r="E13" s="26" t="n">
        <x:v>46281</x:v>
      </x:c>
      <x:c r="F13" s="27" t="n">
        <x:v>224.91</x:v>
      </x:c>
      <x:c r="G13" s="24" t="str">
        <x:v>Angabe im Altbeleg</x:v>
      </x:c>
      <x:c r="H13" s="24" t="str">
        <x:v>08:40</x:v>
      </x:c>
      <x:c r="I13" s="24" t="str">
        <x:v>60_08_Rechnung_SF-A008.pdf</x:v>
      </x:c>
    </x:row>
    <x:row r="14" ht="42" customHeight="1">
      <x:c r="A14" s="2"/>
      <x:c r="B14" s="2" t="str">
        <x:v>SF-A009-Z</x:v>
      </x:c>
      <x:c r="C14" s="2" t="str">
        <x:v>SF-A009</x:v>
      </x:c>
      <x:c r="D14" s="24" t="str">
        <x:v>Kunigunde Nguyen</x:v>
      </x:c>
      <x:c r="E14" s="26" t="n">
        <x:v>46283</x:v>
      </x:c>
      <x:c r="F14" s="27" t="n">
        <x:v>77.35</x:v>
      </x:c>
      <x:c r="G14" s="24" t="str">
        <x:v>Angabe im Altbeleg</x:v>
      </x:c>
      <x:c r="H14" s="24" t="str">
        <x:v>08:40</x:v>
      </x:c>
      <x:c r="I14" s="24" t="str">
        <x:v>60_09_Rechnung_SF-A009.pdf</x:v>
      </x:c>
    </x:row>
    <x:row r="15" ht="42" customHeight="1">
      <x:c r="A15" s="2"/>
      <x:c r="B15" s="2" t="str">
        <x:v>SF-A011-Z</x:v>
      </x:c>
      <x:c r="C15" s="2" t="str">
        <x:v>SF-A005</x:v>
      </x:c>
      <x:c r="D15" s="24" t="str">
        <x:v>Alois Rossi</x:v>
      </x:c>
      <x:c r="E15" s="26" t="n">
        <x:v>46289</x:v>
      </x:c>
      <x:c r="F15" s="27" t="n">
        <x:v>-30.94</x:v>
      </x:c>
      <x:c r="G15" s="24" t="str">
        <x:v>Angabe im Altbeleg</x:v>
      </x:c>
      <x:c r="H15" s="24" t="str">
        <x:v>08:40</x:v>
      </x:c>
      <x:c r="I15" s="24" t="str">
        <x:v>61_01_Gutschrift_SF-A011.pdf</x:v>
      </x:c>
    </x:row>
    <x:row r="16" ht="42" customHeight="1">
      <x:c r="A16" s="2"/>
      <x:c r="B16" s="2" t="str">
        <x:v>SF-A012-Z</x:v>
      </x:c>
      <x:c r="C16" s="2" t="str">
        <x:v>SF-A012</x:v>
      </x:c>
      <x:c r="D16" s="24" t="str">
        <x:v>Ottilie Kühnle</x:v>
      </x:c>
      <x:c r="E16" s="26" t="n">
        <x:v>46290</x:v>
      </x:c>
      <x:c r="F16" s="27" t="n">
        <x:v>116.62</x:v>
      </x:c>
      <x:c r="G16" s="24" t="str">
        <x:v>Angabe im Altbeleg</x:v>
      </x:c>
      <x:c r="H16" s="24" t="str">
        <x:v>08:40</x:v>
      </x:c>
      <x:c r="I16" s="24" t="str">
        <x:v>60_11_Rechnung_SF-A012.pdf</x:v>
      </x:c>
    </x:row>
    <x:row r="17" ht="42" customHeight="1">
      <x:c r="A17" s="2"/>
      <x:c r="B17" s="2" t="str">
        <x:v>SF-A013-Z</x:v>
      </x:c>
      <x:c r="C17" s="2" t="str">
        <x:v>SF-A013</x:v>
      </x:c>
      <x:c r="D17" s="24" t="str">
        <x:v>Eberhard Demir</x:v>
      </x:c>
      <x:c r="E17" s="26" t="n">
        <x:v>46288</x:v>
      </x:c>
      <x:c r="F17" s="27" t="n">
        <x:v>18.92</x:v>
      </x:c>
      <x:c r="G17" s="24" t="str">
        <x:v>Angabe im Altbeleg</x:v>
      </x:c>
      <x:c r="H17" s="24" t="str">
        <x:v>08:40</x:v>
      </x:c>
      <x:c r="I17" s="24" t="str">
        <x:v>60_12_Rechnung_SF-A013.pdf</x:v>
      </x:c>
    </x:row>
    <x:row r="18" ht="42" customHeight="1">
      <x:c r="A18" s="2"/>
      <x:c r="B18" s="2" t="str">
        <x:v>SF-A015</x:v>
      </x:c>
      <x:c r="C18" s="2" t="str">
        <x:v>SF-A014</x:v>
      </x:c>
      <x:c r="D18" s="24" t="str">
        <x:v>Eberhard Demir</x:v>
      </x:c>
      <x:c r="E18" s="26" t="n">
        <x:v>46292</x:v>
      </x:c>
      <x:c r="F18" s="27" t="n">
        <x:v>250</x:v>
      </x:c>
      <x:c r="G18" s="24" t="str">
        <x:v>Neuer Zahlungsbeleg</x:v>
      </x:c>
      <x:c r="H18" s="24" t="str">
        <x:v>14:20</x:v>
      </x:c>
      <x:c r="I18" s="24" t="str">
        <x:v>131_Teilzahlung_SF-A015_Werkraum.pdf</x:v>
      </x:c>
    </x:row>
    <x:row r="19" ht="42" customHeight="1">
      <x:c r="A19" s="2"/>
      <x:c r="B19" s="2" t="str">
        <x:v>SF-A018</x:v>
      </x:c>
      <x:c r="C19" s="2" t="str">
        <x:v>SF-A016</x:v>
      </x:c>
      <x:c r="D19" s="24" t="str">
        <x:v>Kunigunde Nguyen</x:v>
      </x:c>
      <x:c r="E19" s="26" t="n">
        <x:v>46292</x:v>
      </x:c>
      <x:c r="F19" s="27" t="n">
        <x:v>178.5</x:v>
      </x:c>
      <x:c r="G19" s="24" t="str">
        <x:v>Neuer Zahlungsbeleg</x:v>
      </x:c>
      <x:c r="H19" s="24" t="str">
        <x:v>14:20</x:v>
      </x:c>
      <x:c r="I19" s="24" t="str">
        <x:v>134_Kartenzahlung_SF-A018_Optikhalter.pdf</x:v>
      </x:c>
    </x:row>
    <x:row r="20" ht="42" customHeight="1">
      <x:c r="A20" s="2"/>
      <x:c r="B20" s="2" t="str">
        <x:v>SF-A019</x:v>
      </x:c>
      <x:c r="C20" s="2" t="str">
        <x:v>SF-A007</x:v>
      </x:c>
      <x:c r="D20" s="24" t="str">
        <x:v>Thekla Ben-Ami</x:v>
      </x:c>
      <x:c r="E20" s="26" t="n">
        <x:v>46292</x:v>
      </x:c>
      <x:c r="F20" s="27" t="n">
        <x:v>200</x:v>
      </x:c>
      <x:c r="G20" s="24" t="str">
        <x:v>Neuer Zahlungsbeleg</x:v>
      </x:c>
      <x:c r="H20" s="24" t="str">
        <x:v>14:20</x:v>
      </x:c>
      <x:c r="I20" s="24" t="str">
        <x:v>135_Teilzahlung_SF-A019_Sprachkontor.pdf</x:v>
      </x:c>
    </x:row>
    <x:row r="21" ht="42" customHeight="1">
      <x:c r="A21" s="2"/>
      <x:c r="B21" s="2" t="str">
        <x:v>SF-A020</x:v>
      </x:c>
      <x:c r="C21" s="2" t="str">
        <x:v>SF-A010</x:v>
      </x:c>
      <x:c r="D21" s="24" t="str">
        <x:v>Ottilie Kühnle</x:v>
      </x:c>
      <x:c r="E21" s="26" t="n">
        <x:v>46292</x:v>
      </x:c>
      <x:c r="F21" s="27" t="n">
        <x:v>214.2</x:v>
      </x:c>
      <x:c r="G21" s="24" t="str">
        <x:v>Neuer Zahlungsbeleg</x:v>
      </x:c>
      <x:c r="H21" s="24" t="str">
        <x:v>14:20</x:v>
      </x:c>
      <x:c r="I21" s="24" t="str">
        <x:v>136_Zahlung_SF-A020_Bueroservice.pdf</x:v>
      </x:c>
    </x:row>
    <x:row r="22" ht="42" customHeight="1">
      <x:c r="A22" s="2"/>
      <x:c r="B22" s="2" t="str">
        <x:v>SF-A023</x:v>
      </x:c>
      <x:c r="C22" s="2" t="str">
        <x:v>SF-A022</x:v>
      </x:c>
      <x:c r="D22" s="24" t="str">
        <x:v>Nepomuk Huber</x:v>
      </x:c>
      <x:c r="E22" s="26" t="n">
        <x:v>46291</x:v>
      </x:c>
      <x:c r="F22" s="27" t="n">
        <x:v>23.68</x:v>
      </x:c>
      <x:c r="G22" s="24" t="str">
        <x:v>Neuer Zahlungsbeleg</x:v>
      </x:c>
      <x:c r="H22" s="24" t="str">
        <x:v>14:20</x:v>
      </x:c>
      <x:c r="I22" s="24" t="str">
        <x:v>139_Quittung_SF-A023_Kurier.pdf</x:v>
      </x:c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5" customHeight="1">
      <x:c r="A25" s="2"/>
      <x:c r="B25" s="25" t="str">
        <x:v>Positive Beträge sind private Zahlungen; der negative Altposten ist Alois’ Kartenrückzahlung.</x:v>
      </x:c>
      <x:c r="C25" s="2"/>
      <x:c r="D25" s="2"/>
      <x:c r="E25" s="2"/>
      <x:c r="F25" s="2"/>
      <x:c r="G25" s="2"/>
      <x:c r="H25" s="2"/>
      <x:c r="I25" s="2"/>
    </x:row>
    <x:row r="26" ht="25" customHeight="1">
      <x:c r="A26" s="2"/>
      <x:c r="B26" s="25" t="str">
        <x:v>Die alten Zahlungsangaben sind unverändert aus den Altbelegen übernommen; „-Z“ ist eine interne Zeilen-ID.</x:v>
      </x:c>
      <x:c r="C26" s="2"/>
      <x:c r="D26" s="2"/>
      <x:c r="E26" s="2"/>
      <x:c r="F26" s="2"/>
      <x:c r="G26" s="2"/>
      <x:c r="H26" s="2"/>
      <x:c r="I26" s="2"/>
    </x:row>
    <x:row r="27" ht="25" customHeight="1">
      <x:c r="A27" s="2"/>
      <x:c r="B27" s="25" t="str">
        <x:v>Die neuen Zahlungsbelege ergänzen den Kenntnisstand von 08:40 Uhr. Keine Gesellschaftszahlung.</x:v>
      </x:c>
      <x:c r="C27" s="2"/>
      <x:c r="D27" s="2"/>
      <x:c r="E27" s="2"/>
      <x:c r="F27" s="2"/>
      <x:c r="G27" s="2"/>
      <x:c r="H27" s="2"/>
      <x:c r="I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</x:row>
  </x:sheetData>
  <x:pageMargins left="0.25" right="0.25" top="0.3" bottom="0.3" header="0.1" footer="0.1"/>
  <x:pageSetup paperSize="9" orientation="landscape" fitToWidth="1" fitToHeight="0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Ottilie Kühnle</dc:creator>
  <cp:lastModifiedBy>Ottilie Kühnle</cp:lastModifiedBy>
  <dc:title>140_Nachgereichte_Auslagen_20260928</dc:title>
  <dcterms:created xsi:type="dcterms:W3CDTF">2026-09-28T12:20:00Z</dcterms:created>
  <dcterms:modified xsi:type="dcterms:W3CDTF">2026-09-28T12:20:00Z</dcterms:modified>
</cp:coreProperties>
</file>