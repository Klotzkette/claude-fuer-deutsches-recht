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8ae96a6ab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 Table" sheetId="1" r:id="Rcb0a8e1fec5d44c0"/>
    <x:sheet xmlns:r="http://schemas.openxmlformats.org/officeDocument/2006/relationships" name="Runden" sheetId="2" r:id="Rab3ca2ed547745b1"/>
    <x:sheet xmlns:r="http://schemas.openxmlformats.org/officeDocument/2006/relationships" name="Virtueller Pool" sheetId="3" r:id="R7f36c41ed516440e"/>
    <x:sheet xmlns:r="http://schemas.openxmlformats.org/officeDocument/2006/relationships" name="Eingaben" sheetId="4" r:id="Re89957ef6a524b0b"/>
  </x:sheets>
  <x:definedNames>
    <x:definedName name="_xlnm.Print_Area" localSheetId="0">'Cap Table'!$B$2:$J$27</x:definedName>
    <x:definedName name="_xlnm.Print_Area" localSheetId="1">'Runden'!$B$2:$G$30</x:definedName>
    <x:definedName name="_xlnm.Print_Area" localSheetId="2">'Virtueller Pool'!$B$2:$F$25</x:definedName>
    <x:definedName name="_xlnm.Print_Area" localSheetId="3">'Eingaben'!$B$2:$G$31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(#,##0);&quot;–&quot;"/>
    <x:numFmt numFmtId="201" formatCode="0.00%;(0.00%);&quot;–&quot;"/>
    <x:numFmt numFmtId="202" formatCode="#,##0.00;(#,##0.00);&quot;–&quot;"/>
    <x:numFmt numFmtId="203" formatCode="0.000000%"/>
    <x:numFmt numFmtId="204" formatCode="0.00"/>
    <x:numFmt numFmtId="205" formatCode="#,##0.0000"/>
  </x:numFmts>
  <x:fonts count="8">
    <x:font>
      <x:sz val="11"/>
      <x:name val="Carlito"/>
    </x:font>
    <x:font>
      <x:sz val="11"/>
      <x:color rgb="FF1D2833"/>
      <x:name val="Arial"/>
    </x:font>
    <x:font>
      <x:b/>
      <x:sz val="16"/>
      <x:color rgb="FF234769"/>
      <x:name val="Arial"/>
    </x:font>
    <x:font>
      <x:b/>
      <x:sz val="11"/>
      <x:color rgb="FFFFFFFF"/>
      <x:name val="Arial"/>
    </x:font>
    <x:font>
      <x:sz val="11"/>
      <x:color rgb="FF174FC0"/>
      <x:name val="Arial"/>
    </x:font>
    <x:font>
      <x:sz val="11"/>
      <x:color rgb="FF000000"/>
      <x:name val="Arial"/>
    </x:font>
    <x:font>
      <x:b/>
      <x:sz val="11"/>
      <x:color rgb="FF1D2833"/>
      <x:name val="Arial"/>
    </x:font>
    <x:font>
      <x:sz val="11"/>
      <x:color rgb="FF17653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4769"/>
      </x:patternFill>
    </x:fill>
    <x:fill>
      <x:patternFill patternType="solid">
        <x:fgColor rgb="FFFFF3C4"/>
      </x:patternFill>
    </x:fill>
    <x:fill>
      <x:patternFill patternType="solid">
        <x:fgColor rgb="FFEEF3F8"/>
      </x:patternFill>
    </x:fill>
  </x:fills>
  <x:borders count="6">
    <x:border/>
    <x:border>
      <x:bottom style="thin">
        <x:color rgb="FF23476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234769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200" fontId="6" fillId="4" borderId="5" xfId="0" applyNumberFormat="1" applyFont="1" applyFill="1" applyBorder="1" applyAlignment="1">
      <x:alignment vertical="center"/>
    </x:xf>
    <x:xf numFmtId="200" fontId="6" fillId="4" borderId="5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6" fillId="4" borderId="5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6" fillId="4" borderId="5" xfId="0" applyNumberFormat="1" applyFont="1" applyFill="1" applyBorder="1" applyAlignment="1">
      <x:alignment horizontal="right" vertical="center"/>
    </x:xf>
    <x:xf numFmtId="202" fontId="7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horizontal="right" vertical="center"/>
    </x:xf>
    <x:xf numFmtId="202" fontId="5" fillId="4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horizontal="right" vertical="center"/>
    </x:xf>
    <x:xf numFmtId="202" fontId="6" fillId="4" borderId="5" xfId="0" applyNumberFormat="1" applyFont="1" applyFill="1" applyBorder="1" applyAlignment="1">
      <x:alignment horizontal="right" vertical="center"/>
    </x:xf>
    <x:xf numFmtId="204" fontId="5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205" fontId="5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C2634"/>
      </x:font>
      <x:fill>
        <x:patternFill patternType="solid">
          <x:bgColor rgb="FFFB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f14ba55184607" /><Relationship Type="http://schemas.openxmlformats.org/officeDocument/2006/relationships/theme" Target="/xl/theme/theme1.xml" Id="Rcf2029aae0254690" /><Relationship Type="http://schemas.openxmlformats.org/officeDocument/2006/relationships/sharedStrings" Target="/xl/sharedStrings.xml" Id="R7418cd7eae154dbb" /><Relationship Type="http://schemas.openxmlformats.org/officeDocument/2006/relationships/worksheet" Target="/xl/worksheets/sheet1.xml" Id="Rcb0a8e1fec5d44c0" /><Relationship Type="http://schemas.openxmlformats.org/officeDocument/2006/relationships/worksheet" Target="/xl/worksheets/sheet2.xml" Id="Rab3ca2ed547745b1" /><Relationship Type="http://schemas.openxmlformats.org/officeDocument/2006/relationships/worksheet" Target="/xl/worksheets/sheet3.xml" Id="R7f36c41ed516440e" /><Relationship Type="http://schemas.openxmlformats.org/officeDocument/2006/relationships/worksheet" Target="/xl/worksheets/sheet4.xml" Id="Re89957ef6a524b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769"/>
    <x:pageSetUpPr fitToPage="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" hidden="0" customWidth="1"/>
    <x:col min="2" max="2" width="43.3300018310546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13.890000343322754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2"/>
      <x:c r="B2" s="3" t="str">
        <x:v>Schnittflug: Cap Table vor Beurkundung</x:v>
      </x:c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 t="str">
        <x:v>Stand 28.09.2026. Ottilie Kühnle. Nicht vollzogene Planung.</x:v>
      </x:c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4"/>
      <x:c r="C4" s="4"/>
      <x:c r="D4" s="4"/>
      <x:c r="E4" s="4"/>
      <x:c r="F4" s="4"/>
      <x:c r="G4" s="4"/>
      <x:c r="H4" s="4"/>
      <x:c r="I4" s="4"/>
      <x:c r="J4" s="4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0" customHeight="1">
      <x:c r="A6" s="2"/>
      <x:c r="B6" s="13" t="str">
        <x:v>Beteiligte</x:v>
      </x:c>
      <x:c r="C6" s="14" t="str">
        <x:v>Gründung EUR</x:v>
      </x:c>
      <x:c r="D6" s="14" t="str">
        <x:v>Nach Seed EUR</x:v>
      </x:c>
      <x:c r="E6" s="14" t="str">
        <x:v>Nach A EUR</x:v>
      </x:c>
      <x:c r="F6" s="14" t="str">
        <x:v>Nach B EUR</x:v>
      </x:c>
      <x:c r="G6" s="14" t="str">
        <x:v>Gründung %</x:v>
      </x:c>
      <x:c r="H6" s="14" t="str">
        <x:v>Nach Seed %</x:v>
      </x:c>
      <x:c r="I6" s="14" t="str">
        <x:v>Nach A %</x:v>
      </x:c>
      <x:c r="J6" s="15" t="str">
        <x:v>Nach B %</x:v>
      </x:c>
    </x:row>
    <x:row r="7" ht="40" customHeight="1">
      <x:c r="A7" s="2"/>
      <x:c r="B7" s="27" t="str">
        <x:v>Ottilie Kühnle</x:v>
      </x:c>
      <x:c r="C7" s="32" t="n">
        <x:f>'Eingaben'!C7</x:f>
        <x:v>5250</x:v>
      </x:c>
      <x:c r="D7" s="33" t="n">
        <x:f>C7</x:f>
        <x:v>5250</x:v>
      </x:c>
      <x:c r="E7" s="33" t="n">
        <x:f>D7</x:f>
        <x:v>5250</x:v>
      </x:c>
      <x:c r="F7" s="33" t="n">
        <x:f>E7</x:f>
        <x:v>5250</x:v>
      </x:c>
      <x:c r="G7" s="38" t="n">
        <x:f>C7/C$18</x:f>
        <x:v>0.21</x:v>
      </x:c>
      <x:c r="H7" s="38" t="n">
        <x:f>D7/D$18</x:f>
        <x:v>0.175</x:v>
      </x:c>
      <x:c r="I7" s="38" t="n">
        <x:f>E7/E$18</x:f>
        <x:v>0.13125</x:v>
      </x:c>
      <x:c r="J7" s="38" t="n">
        <x:f>F7/F$18</x:f>
        <x:v>0.0875</x:v>
      </x:c>
    </x:row>
    <x:row r="8" ht="40" customHeight="1">
      <x:c r="A8" s="2"/>
      <x:c r="B8" s="27" t="str">
        <x:v>Eberhard Demir</x:v>
      </x:c>
      <x:c r="C8" s="32" t="n">
        <x:f>'Eingaben'!C8</x:f>
        <x:v>5500</x:v>
      </x:c>
      <x:c r="D8" s="33" t="n">
        <x:f>C8</x:f>
        <x:v>5500</x:v>
      </x:c>
      <x:c r="E8" s="33" t="n">
        <x:f>D8</x:f>
        <x:v>5500</x:v>
      </x:c>
      <x:c r="F8" s="33" t="n">
        <x:f>E8</x:f>
        <x:v>5500</x:v>
      </x:c>
      <x:c r="G8" s="38" t="n">
        <x:f>C8/C$18</x:f>
        <x:v>0.22</x:v>
      </x:c>
      <x:c r="H8" s="38" t="n">
        <x:f>D8/D$18</x:f>
        <x:v>0.18333333333333332</x:v>
      </x:c>
      <x:c r="I8" s="38" t="n">
        <x:f>E8/E$18</x:f>
        <x:v>0.1375</x:v>
      </x:c>
      <x:c r="J8" s="38" t="n">
        <x:f>F8/F$18</x:f>
        <x:v>0.09166666666666666</x:v>
      </x:c>
    </x:row>
    <x:row r="9" ht="40" customHeight="1">
      <x:c r="A9" s="2"/>
      <x:c r="B9" s="27" t="str">
        <x:v>Kunigunde Nguyen</x:v>
      </x:c>
      <x:c r="C9" s="32" t="n">
        <x:f>'Eingaben'!C9</x:f>
        <x:v>4500</x:v>
      </x:c>
      <x:c r="D9" s="33" t="n">
        <x:f>C9</x:f>
        <x:v>4500</x:v>
      </x:c>
      <x:c r="E9" s="33" t="n">
        <x:f>D9</x:f>
        <x:v>4500</x:v>
      </x:c>
      <x:c r="F9" s="33" t="n">
        <x:f>E9</x:f>
        <x:v>4500</x:v>
      </x:c>
      <x:c r="G9" s="38" t="n">
        <x:f>C9/C$18</x:f>
        <x:v>0.18</x:v>
      </x:c>
      <x:c r="H9" s="38" t="n">
        <x:f>D9/D$18</x:f>
        <x:v>0.15</x:v>
      </x:c>
      <x:c r="I9" s="38" t="n">
        <x:f>E9/E$18</x:f>
        <x:v>0.1125</x:v>
      </x:c>
      <x:c r="J9" s="38" t="n">
        <x:f>F9/F$18</x:f>
        <x:v>0.075</x:v>
      </x:c>
    </x:row>
    <x:row r="10" ht="40" customHeight="1">
      <x:c r="A10" s="2"/>
      <x:c r="B10" s="27" t="str">
        <x:v>Nepomuk Huber</x:v>
      </x:c>
      <x:c r="C10" s="32" t="n">
        <x:f>'Eingaben'!C10</x:f>
        <x:v>3750</x:v>
      </x:c>
      <x:c r="D10" s="33" t="n">
        <x:f>C10</x:f>
        <x:v>3750</x:v>
      </x:c>
      <x:c r="E10" s="33" t="n">
        <x:f>D10</x:f>
        <x:v>3750</x:v>
      </x:c>
      <x:c r="F10" s="33" t="n">
        <x:f>E10</x:f>
        <x:v>3750</x:v>
      </x:c>
      <x:c r="G10" s="38" t="n">
        <x:f>C10/C$18</x:f>
        <x:v>0.15</x:v>
      </x:c>
      <x:c r="H10" s="38" t="n">
        <x:f>D10/D$18</x:f>
        <x:v>0.125</x:v>
      </x:c>
      <x:c r="I10" s="38" t="n">
        <x:f>E10/E$18</x:f>
        <x:v>0.09375</x:v>
      </x:c>
      <x:c r="J10" s="38" t="n">
        <x:f>F10/F$18</x:f>
        <x:v>0.0625</x:v>
      </x:c>
    </x:row>
    <x:row r="11" ht="40" customHeight="1">
      <x:c r="A11" s="2"/>
      <x:c r="B11" s="27" t="str">
        <x:v>Wilhelmine Okafor</x:v>
      </x:c>
      <x:c r="C11" s="32" t="n">
        <x:f>'Eingaben'!C11</x:f>
        <x:v>2500</x:v>
      </x:c>
      <x:c r="D11" s="33" t="n">
        <x:f>C11</x:f>
        <x:v>2500</x:v>
      </x:c>
      <x:c r="E11" s="33" t="n">
        <x:f>D11</x:f>
        <x:v>2500</x:v>
      </x:c>
      <x:c r="F11" s="33" t="n">
        <x:f>E11</x:f>
        <x:v>2500</x:v>
      </x:c>
      <x:c r="G11" s="38" t="n">
        <x:f>C11/C$18</x:f>
        <x:v>0.1</x:v>
      </x:c>
      <x:c r="H11" s="38" t="n">
        <x:f>D11/D$18</x:f>
        <x:v>0.08333333333333333</x:v>
      </x:c>
      <x:c r="I11" s="38" t="n">
        <x:f>E11/E$18</x:f>
        <x:v>0.0625</x:v>
      </x:c>
      <x:c r="J11" s="38" t="n">
        <x:f>F11/F$18</x:f>
        <x:v>0.041666666666666664</x:v>
      </x:c>
    </x:row>
    <x:row r="12" ht="40" customHeight="1">
      <x:c r="A12" s="2"/>
      <x:c r="B12" s="27" t="str">
        <x:v>Alois Rossi</x:v>
      </x:c>
      <x:c r="C12" s="32" t="n">
        <x:f>'Eingaben'!C12</x:f>
        <x:v>2000</x:v>
      </x:c>
      <x:c r="D12" s="33" t="n">
        <x:f>C12</x:f>
        <x:v>2000</x:v>
      </x:c>
      <x:c r="E12" s="33" t="n">
        <x:f>D12</x:f>
        <x:v>2000</x:v>
      </x:c>
      <x:c r="F12" s="33" t="n">
        <x:f>E12</x:f>
        <x:v>2000</x:v>
      </x:c>
      <x:c r="G12" s="38" t="n">
        <x:f>C12/C$18</x:f>
        <x:v>0.08</x:v>
      </x:c>
      <x:c r="H12" s="38" t="n">
        <x:f>D12/D$18</x:f>
        <x:v>0.06666666666666667</x:v>
      </x:c>
      <x:c r="I12" s="38" t="n">
        <x:f>E12/E$18</x:f>
        <x:v>0.05</x:v>
      </x:c>
      <x:c r="J12" s="38" t="n">
        <x:f>F12/F$18</x:f>
        <x:v>0.03333333333333333</x:v>
      </x:c>
    </x:row>
    <x:row r="13" ht="40" customHeight="1">
      <x:c r="A13" s="2"/>
      <x:c r="B13" s="27" t="str">
        <x:v>Thekla Ben-Ami</x:v>
      </x:c>
      <x:c r="C13" s="32" t="n">
        <x:f>'Eingaben'!C13</x:f>
        <x:v>1500</x:v>
      </x:c>
      <x:c r="D13" s="33" t="n">
        <x:f>C13</x:f>
        <x:v>1500</x:v>
      </x:c>
      <x:c r="E13" s="33" t="n">
        <x:f>D13</x:f>
        <x:v>1500</x:v>
      </x:c>
      <x:c r="F13" s="33" t="n">
        <x:f>E13</x:f>
        <x:v>1500</x:v>
      </x:c>
      <x:c r="G13" s="38" t="n">
        <x:f>C13/C$18</x:f>
        <x:v>0.06</x:v>
      </x:c>
      <x:c r="H13" s="38" t="n">
        <x:f>D13/D$18</x:f>
        <x:v>0.05</x:v>
      </x:c>
      <x:c r="I13" s="38" t="n">
        <x:f>E13/E$18</x:f>
        <x:v>0.0375</x:v>
      </x:c>
      <x:c r="J13" s="38" t="n">
        <x:f>F13/F$18</x:f>
        <x:v>0.025</x:v>
      </x:c>
    </x:row>
    <x:row r="14" ht="40" customHeight="1">
      <x:c r="A14" s="2"/>
      <x:c r="B14" s="27" t="str">
        <x:v>Wolkenwickel Ventures GmbH</x:v>
      </x:c>
      <x:c r="C14" s="34" t="n">
        <x:v>0</x:v>
      </x:c>
      <x:c r="D14" s="32" t="n">
        <x:f>C14+'Eingaben'!C19</x:f>
        <x:v>5000</x:v>
      </x:c>
      <x:c r="E14" s="33" t="n">
        <x:f>D14</x:f>
        <x:v>5000</x:v>
      </x:c>
      <x:c r="F14" s="33" t="n">
        <x:f>E14</x:f>
        <x:v>5000</x:v>
      </x:c>
      <x:c r="G14" s="38" t="n">
        <x:f>C14/C$18</x:f>
        <x:v>0</x:v>
      </x:c>
      <x:c r="H14" s="38" t="n">
        <x:f>D14/D$18</x:f>
        <x:v>0.16666666666666666</x:v>
      </x:c>
      <x:c r="I14" s="38" t="n">
        <x:f>E14/E$18</x:f>
        <x:v>0.125</x:v>
      </x:c>
      <x:c r="J14" s="38" t="n">
        <x:f>F14/F$18</x:f>
        <x:v>0.08333333333333333</x:v>
      </x:c>
    </x:row>
    <x:row r="15" ht="40" customHeight="1">
      <x:c r="A15" s="2"/>
      <x:c r="B15" s="27" t="str">
        <x:v>Spree Horizon Capital S.à r.l.</x:v>
      </x:c>
      <x:c r="C15" s="34" t="n">
        <x:v>0</x:v>
      </x:c>
      <x:c r="D15" s="33" t="n">
        <x:f>C15</x:f>
        <x:v>0</x:v>
      </x:c>
      <x:c r="E15" s="32" t="n">
        <x:f>D15+'Eingaben'!C20</x:f>
        <x:v>10000</x:v>
      </x:c>
      <x:c r="F15" s="33" t="n">
        <x:f>E15</x:f>
        <x:v>10000</x:v>
      </x:c>
      <x:c r="G15" s="38" t="n">
        <x:f>C15/C$18</x:f>
        <x:v>0</x:v>
      </x:c>
      <x:c r="H15" s="38" t="n">
        <x:f>D15/D$18</x:f>
        <x:v>0</x:v>
      </x:c>
      <x:c r="I15" s="38" t="n">
        <x:f>E15/E$18</x:f>
        <x:v>0.25</x:v>
      </x:c>
      <x:c r="J15" s="38" t="n">
        <x:f>F15/F$18</x:f>
        <x:v>0.16666666666666666</x:v>
      </x:c>
    </x:row>
    <x:row r="16" ht="40" customHeight="1">
      <x:c r="A16" s="2"/>
      <x:c r="B16" s="27" t="str">
        <x:v>Scherenwolke Growth Fund GmbH &amp; Co. KG</x:v>
      </x:c>
      <x:c r="C16" s="34" t="n">
        <x:v>0</x:v>
      </x:c>
      <x:c r="D16" s="33" t="n">
        <x:f>C16</x:f>
        <x:v>0</x:v>
      </x:c>
      <x:c r="E16" s="33" t="n">
        <x:f>D16</x:f>
        <x:v>0</x:v>
      </x:c>
      <x:c r="F16" s="32" t="n">
        <x:f>E16+'Eingaben'!C21</x:f>
        <x:v>20000</x:v>
      </x:c>
      <x:c r="G16" s="38" t="n">
        <x:f>C16/C$18</x:f>
        <x:v>0</x:v>
      </x:c>
      <x:c r="H16" s="38" t="n">
        <x:f>D16/D$18</x:f>
        <x:v>0</x:v>
      </x:c>
      <x:c r="I16" s="38" t="n">
        <x:f>E16/E$18</x:f>
        <x:v>0</x:v>
      </x:c>
      <x:c r="J16" s="38" t="n">
        <x:f>F16/F$18</x:f>
        <x:v>0.3333333333333333</x:v>
      </x:c>
    </x:row>
    <x:row r="17" ht="25" customHeight="1">
      <x:c r="A17" s="2"/>
      <x:c r="B17" s="2"/>
      <x:c r="C17" s="34"/>
      <x:c r="D17" s="34"/>
      <x:c r="E17" s="34"/>
      <x:c r="F17" s="34"/>
      <x:c r="G17" s="39"/>
      <x:c r="H17" s="39"/>
      <x:c r="I17" s="39"/>
      <x:c r="J17" s="39"/>
    </x:row>
    <x:row r="18" ht="28" customHeight="1">
      <x:c r="A18" s="2"/>
      <x:c r="B18" s="23" t="str">
        <x:v>Gesamt</x:v>
      </x:c>
      <x:c r="C18" s="25" t="n">
        <x:f>SUM(C7:C16)</x:f>
        <x:v>25000</x:v>
      </x:c>
      <x:c r="D18" s="25" t="n">
        <x:f>SUM(D7:D16)</x:f>
        <x:v>30000</x:v>
      </x:c>
      <x:c r="E18" s="25" t="n">
        <x:f>SUM(E7:E16)</x:f>
        <x:v>40000</x:v>
      </x:c>
      <x:c r="F18" s="25" t="n">
        <x:f>SUM(F7:F16)</x:f>
        <x:v>60000</x:v>
      </x:c>
      <x:c r="G18" s="40" t="n">
        <x:f>SUM(G7:G16)</x:f>
        <x:v>1</x:v>
      </x:c>
      <x:c r="H18" s="40" t="n">
        <x:f>SUM(H7:H16)</x:f>
        <x:v>1</x:v>
      </x:c>
      <x:c r="I18" s="40" t="n">
        <x:f>SUM(I7:I16)</x:f>
        <x:v>1</x:v>
      </x:c>
      <x:c r="J18" s="40" t="n">
        <x:f>SUM(J7:J16)</x:f>
        <x:v>1</x:v>
      </x:c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36" customHeight="1">
      <x:c r="A21" s="2"/>
      <x:c r="B21" s="27" t="str">
        <x:v>Die Spalten sind eine aufeinander aufbauende Planungsfolge. Kein Registerstand, keine Einzahlung und keine Kapitalerhöhung sind damit nachgewiesen.</x:v>
      </x:c>
      <x:c r="C21" s="27"/>
      <x:c r="D21" s="27"/>
      <x:c r="E21" s="27"/>
      <x:c r="F21" s="27"/>
      <x:c r="G21" s="27"/>
      <x:c r="H21" s="27"/>
      <x:c r="I21" s="27"/>
      <x:c r="J21" s="27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36" customHeight="1">
      <x:c r="A23" s="2"/>
      <x:c r="B23" s="27" t="str">
        <x:v>Alle neuen Nominalbeträge gehen hier an den jeweiligen Investor. Bezugsrechte der Altgesellschafter und etwaige Kompensation bleiben im Verhandlungsmodell gesondert.</x:v>
      </x:c>
      <x:c r="C23" s="27"/>
      <x:c r="D23" s="27"/>
      <x:c r="E23" s="27"/>
      <x:c r="F23" s="27"/>
      <x:c r="G23" s="27"/>
      <x:c r="H23" s="27"/>
      <x:c r="I23" s="27"/>
      <x:c r="J23" s="27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36" customHeight="1">
      <x:c r="A25" s="2"/>
      <x:c r="B25" s="27" t="str">
        <x:v>Virtuelle Vergütung wird ausschließlich im Blatt „Virtueller Pool“ dargestellt. Sie verändert in diesem Modell weder Stammkapital noch Stimmrechte.</x:v>
      </x:c>
      <x:c r="C25" s="27"/>
      <x:c r="D25" s="27"/>
      <x:c r="E25" s="27"/>
      <x:c r="F25" s="27"/>
      <x:c r="G25" s="27"/>
      <x:c r="H25" s="27"/>
      <x:c r="I25" s="27"/>
      <x:c r="J25" s="27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36" customHeight="1">
      <x:c r="A27" s="2"/>
      <x:c r="B27" s="27" t="str">
        <x:v>Die frühe Notiz „21 % bleiben 21 %“ ist in dieser Fassung nicht als Zusage berücksichtigt. Dafür wäre eine gesonderte, finanzierbare Vereinbarung erforderlich.</x:v>
      </x:c>
      <x:c r="C27" s="27"/>
      <x:c r="D27" s="27"/>
      <x:c r="E27" s="27"/>
      <x:c r="F27" s="27"/>
      <x:c r="G27" s="27"/>
      <x:c r="H27" s="27"/>
      <x:c r="I27" s="27"/>
      <x:c r="J27" s="27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</x:sheetData>
  <x:mergeCells>
    <x:mergeCell ref="B21:J21"/>
    <x:mergeCell ref="B23:J23"/>
    <x:mergeCell ref="B25:J25"/>
    <x:mergeCell ref="B27:J27"/>
  </x:mergeCells>
  <x:pageMargins left="0.25" right="0.25" top="0.35" bottom="0.35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tabColor rgb="FF234769"/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43.33000183105469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16.670000076293945" hidden="0" customWidth="1"/>
    <x:col min="7" max="7" width="16.670000076293945" hidden="0" customWidth="1"/>
    <x:col min="8" max="8" width="11.10999965667724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3" t="str">
        <x:v>Schnittflug: Preis und Kapitalaufbringung</x:v>
      </x:c>
      <x:c r="C2" s="2"/>
      <x:c r="D2" s="2"/>
      <x:c r="E2" s="2"/>
      <x:c r="F2" s="2"/>
      <x:c r="G2" s="2"/>
      <x:c r="H2" s="2"/>
    </x:row>
    <x:row r="3" ht="24" customHeight="1">
      <x:c r="A3" s="2"/>
      <x:c r="B3" s="2" t="str">
        <x:v>Stand 28.09.2026. Ottilie Kühnle. Nicht vollzogene Planung.</x:v>
      </x:c>
      <x:c r="C3" s="2"/>
      <x:c r="D3" s="2"/>
      <x:c r="E3" s="2"/>
      <x:c r="F3" s="2"/>
      <x:c r="G3" s="2"/>
      <x:c r="H3" s="2"/>
    </x:row>
    <x:row r="4" ht="25" customHeight="1">
      <x:c r="A4" s="2"/>
      <x:c r="B4" s="4"/>
      <x:c r="C4" s="4"/>
      <x:c r="D4" s="4"/>
      <x:c r="E4" s="4"/>
      <x:c r="F4" s="4"/>
      <x:c r="G4" s="4"/>
      <x:c r="H4" s="4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40" customHeight="1">
      <x:c r="A6" s="2"/>
      <x:c r="B6" s="13" t="str">
        <x:v>Kennzahl</x:v>
      </x:c>
      <x:c r="C6" s="14" t="str">
        <x:v>Seed</x:v>
      </x:c>
      <x:c r="D6" s="14" t="str">
        <x:v>Serie A</x:v>
      </x:c>
      <x:c r="E6" s="15" t="str">
        <x:v>Serie B</x:v>
      </x:c>
      <x:c r="F6" s="2"/>
      <x:c r="G6" s="2"/>
      <x:c r="H6" s="2"/>
    </x:row>
    <x:row r="7" ht="25" customHeight="1">
      <x:c r="A7" s="2"/>
      <x:c r="B7" s="2" t="str">
        <x:v>Bisheriges Stammkapital (EUR)</x:v>
      </x:c>
      <x:c r="C7" s="44" t="n">
        <x:f>'Eingaben'!C15</x:f>
        <x:v>25000</x:v>
      </x:c>
      <x:c r="D7" s="45" t="n">
        <x:f>C9</x:f>
        <x:v>30000</x:v>
      </x:c>
      <x:c r="E7" s="45" t="n">
        <x:f>D9</x:f>
        <x:v>40000</x:v>
      </x:c>
      <x:c r="F7" s="2"/>
      <x:c r="G7" s="2"/>
      <x:c r="H7" s="2"/>
    </x:row>
    <x:row r="8" ht="25" customHeight="1">
      <x:c r="A8" s="2"/>
      <x:c r="B8" s="2" t="str">
        <x:v>Neue Nominale (EUR)</x:v>
      </x:c>
      <x:c r="C8" s="44" t="n">
        <x:f>'Eingaben'!C19</x:f>
        <x:v>5000</x:v>
      </x:c>
      <x:c r="D8" s="44" t="n">
        <x:f>'Eingaben'!C20</x:f>
        <x:v>10000</x:v>
      </x:c>
      <x:c r="E8" s="44" t="n">
        <x:f>'Eingaben'!C21</x:f>
        <x:v>20000</x:v>
      </x:c>
      <x:c r="F8" s="2"/>
      <x:c r="G8" s="2"/>
      <x:c r="H8" s="2"/>
    </x:row>
    <x:row r="9" ht="28" customHeight="1">
      <x:c r="A9" s="2"/>
      <x:c r="B9" s="23" t="str">
        <x:v>Stammkapital nach Runde (EUR)</x:v>
      </x:c>
      <x:c r="C9" s="51" t="n">
        <x:f>SUM(C7:C8)</x:f>
        <x:v>30000</x:v>
      </x:c>
      <x:c r="D9" s="51" t="n">
        <x:f>SUM(D7:D8)</x:f>
        <x:v>40000</x:v>
      </x:c>
      <x:c r="E9" s="51" t="n">
        <x:f>SUM(E7:E8)</x:f>
        <x:v>60000</x:v>
      </x:c>
      <x:c r="F9" s="2"/>
      <x:c r="G9" s="2"/>
      <x:c r="H9" s="2"/>
    </x:row>
    <x:row r="10" ht="25" customHeight="1">
      <x:c r="A10" s="2"/>
      <x:c r="B10" s="2"/>
      <x:c r="C10" s="46"/>
      <x:c r="D10" s="46"/>
      <x:c r="E10" s="46"/>
      <x:c r="F10" s="2"/>
      <x:c r="G10" s="2"/>
      <x:c r="H10" s="2"/>
    </x:row>
    <x:row r="11" ht="25" customHeight="1">
      <x:c r="A11" s="2"/>
      <x:c r="B11" s="2" t="str">
        <x:v>Geplanter Zufluss (EUR)</x:v>
      </x:c>
      <x:c r="C11" s="44" t="n">
        <x:f>'Eingaben'!D19</x:f>
        <x:v>600000</x:v>
      </x:c>
      <x:c r="D11" s="44" t="n">
        <x:f>'Eingaben'!D20</x:f>
        <x:v>2400000</x:v>
      </x:c>
      <x:c r="E11" s="44" t="n">
        <x:f>'Eingaben'!D21</x:f>
        <x:v>1800000</x:v>
      </x:c>
      <x:c r="F11" s="2"/>
      <x:c r="G11" s="2"/>
      <x:c r="H11" s="2"/>
    </x:row>
    <x:row r="12" ht="25" customHeight="1">
      <x:c r="A12" s="2"/>
      <x:c r="B12" s="2" t="str">
        <x:v>Preis je 1 EUR Nominal (EUR)</x:v>
      </x:c>
      <x:c r="C12" s="45" t="n">
        <x:f>C11/C8</x:f>
        <x:v>120</x:v>
      </x:c>
      <x:c r="D12" s="45" t="n">
        <x:f>D11/D8</x:f>
        <x:v>240</x:v>
      </x:c>
      <x:c r="E12" s="45" t="n">
        <x:f>E11/E8</x:f>
        <x:v>90</x:v>
      </x:c>
      <x:c r="F12" s="2"/>
      <x:c r="G12" s="2"/>
      <x:c r="H12" s="2"/>
    </x:row>
    <x:row r="13" ht="25" customHeight="1">
      <x:c r="A13" s="2"/>
      <x:c r="B13" s="2" t="str">
        <x:v>Nominalteil (EUR)</x:v>
      </x:c>
      <x:c r="C13" s="45" t="n">
        <x:f>C8</x:f>
        <x:v>5000</x:v>
      </x:c>
      <x:c r="D13" s="45" t="n">
        <x:f>D8</x:f>
        <x:v>10000</x:v>
      </x:c>
      <x:c r="E13" s="45" t="n">
        <x:f>E8</x:f>
        <x:v>20000</x:v>
      </x:c>
      <x:c r="F13" s="2"/>
      <x:c r="G13" s="2"/>
      <x:c r="H13" s="2"/>
    </x:row>
    <x:row r="14" ht="28" customHeight="1">
      <x:c r="A14" s="2"/>
      <x:c r="B14" s="23" t="str">
        <x:v>Agio gesamt (EUR)</x:v>
      </x:c>
      <x:c r="C14" s="51" t="n">
        <x:f>C11-C13</x:f>
        <x:v>595000</x:v>
      </x:c>
      <x:c r="D14" s="51" t="n">
        <x:f>D11-D13</x:f>
        <x:v>2390000</x:v>
      </x:c>
      <x:c r="E14" s="51" t="n">
        <x:f>E11-E13</x:f>
        <x:v>1780000</x:v>
      </x:c>
      <x:c r="F14" s="2"/>
      <x:c r="G14" s="2"/>
      <x:c r="H14" s="2"/>
    </x:row>
    <x:row r="15" ht="25" customHeight="1">
      <x:c r="A15" s="2"/>
      <x:c r="B15" s="2"/>
      <x:c r="C15" s="46"/>
      <x:c r="D15" s="46"/>
      <x:c r="E15" s="46"/>
      <x:c r="F15" s="2"/>
      <x:c r="G15" s="2"/>
      <x:c r="H15" s="2"/>
    </x:row>
    <x:row r="16" ht="25" customHeight="1">
      <x:c r="A16" s="2"/>
      <x:c r="B16" s="2" t="str">
        <x:v>Pre-Money berechnet (EUR)</x:v>
      </x:c>
      <x:c r="C16" s="45" t="n">
        <x:f>C7*C12</x:f>
        <x:v>3000000</x:v>
      </x:c>
      <x:c r="D16" s="45" t="n">
        <x:f>D7*D12</x:f>
        <x:v>7200000</x:v>
      </x:c>
      <x:c r="E16" s="45" t="n">
        <x:f>E7*E12</x:f>
        <x:v>3600000</x:v>
      </x:c>
      <x:c r="F16" s="2"/>
      <x:c r="G16" s="2"/>
      <x:c r="H16" s="2"/>
    </x:row>
    <x:row r="17" ht="28" customHeight="1">
      <x:c r="A17" s="2"/>
      <x:c r="B17" s="23" t="str">
        <x:v>Post-Money berechnet (EUR)</x:v>
      </x:c>
      <x:c r="C17" s="51" t="n">
        <x:f>SUM(C16,C11)</x:f>
        <x:v>3600000</x:v>
      </x:c>
      <x:c r="D17" s="51" t="n">
        <x:f>SUM(D16,D11)</x:f>
        <x:v>9600000</x:v>
      </x:c>
      <x:c r="E17" s="51" t="n">
        <x:f>SUM(E16,E11)</x:f>
        <x:v>5400000</x:v>
      </x:c>
      <x:c r="F17" s="2"/>
      <x:c r="G17" s="2"/>
      <x:c r="H17" s="2"/>
    </x:row>
    <x:row r="18" ht="25" customHeight="1">
      <x:c r="A18" s="2"/>
      <x:c r="B18" s="2"/>
      <x:c r="C18" s="46"/>
      <x:c r="D18" s="46"/>
      <x:c r="E18" s="46"/>
      <x:c r="F18" s="2"/>
      <x:c r="G18" s="2"/>
      <x:c r="H18" s="2"/>
    </x:row>
    <x:row r="19" ht="25" customHeight="1">
      <x:c r="A19" s="2"/>
      <x:c r="B19" s="2" t="str">
        <x:v>Neuer Investor: nominaler Anteil</x:v>
      </x:c>
      <x:c r="C19" s="38" t="n">
        <x:f>C8/C9</x:f>
        <x:v>0.16666666666666666</x:v>
      </x:c>
      <x:c r="D19" s="38" t="n">
        <x:f>D8/D9</x:f>
        <x:v>0.25</x:v>
      </x:c>
      <x:c r="E19" s="38" t="n">
        <x:f>E8/E9</x:f>
        <x:v>0.3333333333333333</x:v>
      </x:c>
      <x:c r="F19" s="2"/>
      <x:c r="G19" s="2"/>
      <x:c r="H19" s="2"/>
    </x:row>
    <x:row r="20" ht="25" customHeight="1">
      <x:c r="A20" s="2"/>
      <x:c r="B20" s="2" t="str">
        <x:v>Neuer Investor: Zufluss / Post-Money</x:v>
      </x:c>
      <x:c r="C20" s="38" t="n">
        <x:f>C11/C17</x:f>
        <x:v>0.16666666666666666</x:v>
      </x:c>
      <x:c r="D20" s="38" t="n">
        <x:f>D11/D17</x:f>
        <x:v>0.25</x:v>
      </x:c>
      <x:c r="E20" s="38" t="n">
        <x:f>E11/E17</x:f>
        <x:v>0.3333333333333333</x:v>
      </x:c>
      <x:c r="F20" s="2"/>
      <x:c r="G20" s="2"/>
      <x:c r="H20" s="2"/>
    </x:row>
    <x:row r="21" ht="25" customHeight="1">
      <x:c r="A21" s="2"/>
      <x:c r="B21" s="2"/>
      <x:c r="C21" s="46"/>
      <x:c r="D21" s="46"/>
      <x:c r="E21" s="46"/>
      <x:c r="F21" s="2"/>
      <x:c r="G21" s="2"/>
      <x:c r="H21" s="2"/>
    </x:row>
    <x:row r="22" ht="25" customHeight="1">
      <x:c r="A22" s="2"/>
      <x:c r="B22" s="2" t="str">
        <x:v>Pre-Money laut Gespräch (EUR)</x:v>
      </x:c>
      <x:c r="C22" s="44" t="n">
        <x:f>'Eingaben'!E19</x:f>
        <x:v>3000000</x:v>
      </x:c>
      <x:c r="D22" s="44" t="n">
        <x:f>'Eingaben'!E20</x:f>
        <x:v>7200000</x:v>
      </x:c>
      <x:c r="E22" s="44" t="n">
        <x:f>'Eingaben'!E21</x:f>
        <x:v>3600000</x:v>
      </x:c>
      <x:c r="F22" s="2"/>
      <x:c r="G22" s="2"/>
      <x:c r="H22" s="2"/>
    </x:row>
    <x:row r="23" ht="25" customHeight="1">
      <x:c r="A23" s="2"/>
      <x:c r="B23" s="2" t="str">
        <x:v>Post-Money laut Gespräch (EUR)</x:v>
      </x:c>
      <x:c r="C23" s="44" t="n">
        <x:f>'Eingaben'!F19</x:f>
        <x:v>3600000</x:v>
      </x:c>
      <x:c r="D23" s="44" t="n">
        <x:f>'Eingaben'!F20</x:f>
        <x:v>9600000</x:v>
      </x:c>
      <x:c r="E23" s="44" t="n">
        <x:f>'Eingaben'!F21</x:f>
        <x:v>5400000</x:v>
      </x:c>
      <x:c r="F23" s="2"/>
      <x:c r="G23" s="2"/>
      <x:c r="H23" s="2"/>
    </x:row>
    <x:row r="24" ht="25" customHeight="1">
      <x:c r="A24" s="2"/>
      <x:c r="B24" s="2"/>
      <x:c r="C24" s="46"/>
      <x:c r="D24" s="46"/>
      <x:c r="E24" s="46"/>
      <x:c r="F24" s="2"/>
      <x:c r="G24" s="2"/>
      <x:c r="H24" s="2"/>
    </x:row>
    <x:row r="25" ht="25" customHeight="1">
      <x:c r="A25" s="2"/>
      <x:c r="B25" s="2" t="str">
        <x:v>Differenz Pre-Money (EUR)</x:v>
      </x:c>
      <x:c r="C25" s="52" t="n">
        <x:f>C16-C22</x:f>
        <x:v>0</x:v>
      </x:c>
      <x:c r="D25" s="52" t="n">
        <x:f>D16-D22</x:f>
        <x:v>0</x:v>
      </x:c>
      <x:c r="E25" s="52" t="n">
        <x:f>E16-E22</x:f>
        <x:v>0</x:v>
      </x:c>
      <x:c r="F25" s="2"/>
      <x:c r="G25" s="2"/>
      <x:c r="H25" s="2"/>
    </x:row>
    <x:row r="26" ht="25" customHeight="1">
      <x:c r="A26" s="2"/>
      <x:c r="B26" s="2" t="str">
        <x:v>Differenz Post-Money (EUR)</x:v>
      </x:c>
      <x:c r="C26" s="52" t="n">
        <x:f>C17-C23</x:f>
        <x:v>0</x:v>
      </x:c>
      <x:c r="D26" s="52" t="n">
        <x:f>D17-D23</x:f>
        <x:v>0</x:v>
      </x:c>
      <x:c r="E26" s="52" t="n">
        <x:f>E17-E23</x:f>
        <x:v>0</x:v>
      </x:c>
      <x:c r="F26" s="2"/>
      <x:c r="G26" s="2"/>
      <x:c r="H26" s="2"/>
    </x:row>
    <x:row r="27" ht="25" customHeight="1">
      <x:c r="A27" s="2"/>
      <x:c r="B27" s="2" t="str">
        <x:v>Differenz Investoranteil</x:v>
      </x:c>
      <x:c r="C27" s="48" t="n">
        <x:f>C19-C20</x:f>
        <x:v>0</x:v>
      </x:c>
      <x:c r="D27" s="48" t="n">
        <x:f>D19-D20</x:f>
        <x:v>0</x:v>
      </x:c>
      <x:c r="E27" s="48" t="n">
        <x:f>E19-E20</x:f>
        <x:v>0</x:v>
      </x:c>
      <x:c r="F27" s="2"/>
      <x:c r="G27" s="2"/>
      <x:c r="H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  <x:row r="30" ht="38" customHeight="1">
      <x:c r="A30" s="2"/>
      <x:c r="B30" s="27" t="str">
        <x:v>Serie B setzt 90 EUR je 1 EUR Nominal an, gegenüber 240 EUR in Serie A. Liquidationspräferenzen und wirtschaftlicher Verwässerungsschutz sind nicht modelliert.</x:v>
      </x:c>
      <x:c r="C30" s="27"/>
      <x:c r="D30" s="27"/>
      <x:c r="E30" s="27"/>
      <x:c r="F30" s="27"/>
      <x:c r="G30" s="27"/>
      <x:c r="H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</x:sheetData>
  <x:mergeCells>
    <x:mergeCell ref="B30:G30"/>
  </x:mergeCells>
  <x:conditionalFormatting sqref="C25:E27">
    <x:cfRule type="cellIs" dxfId="0" priority="1" operator="notEqual">
      <x:formula>0</x:formula>
    </x:cfRule>
  </x:conditionalFormatting>
  <x:pageMargins left="0.25" right="0.25" top="0.35" bottom="0.35" header="0.15" footer="0.15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tabColor rgb="FF234769"/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36.66999816894531" hidden="0" customWidth="1"/>
    <x:col min="3" max="3" width="17.780000686645508" hidden="0" customWidth="1"/>
    <x:col min="4" max="4" width="17.780000686645508" hidden="0" customWidth="1"/>
    <x:col min="5" max="5" width="17.780000686645508" hidden="0" customWidth="1"/>
    <x:col min="6" max="6" width="17.780000686645508" hidden="0" customWidth="1"/>
    <x:col min="7" max="7" width="1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</x:row>
    <x:row r="2" ht="25" customHeight="1">
      <x:c r="A2" s="2"/>
      <x:c r="B2" s="3" t="str">
        <x:v>Schnittflug: virtueller Pool</x:v>
      </x:c>
      <x:c r="C2" s="2"/>
      <x:c r="D2" s="2"/>
      <x:c r="E2" s="2"/>
      <x:c r="F2" s="2"/>
      <x:c r="G2" s="2"/>
    </x:row>
    <x:row r="3" ht="24" customHeight="1">
      <x:c r="A3" s="2"/>
      <x:c r="B3" s="2" t="str">
        <x:v>Stand 28.09.2026. Ottilie Kühnle. Nicht vollzogene Planung.</x:v>
      </x:c>
      <x:c r="C3" s="2"/>
      <x:c r="D3" s="2"/>
      <x:c r="E3" s="2"/>
      <x:c r="F3" s="2"/>
      <x:c r="G3" s="2"/>
    </x:row>
    <x:row r="4" ht="25" customHeight="1">
      <x:c r="A4" s="2"/>
      <x:c r="B4" s="4"/>
      <x:c r="C4" s="4"/>
      <x:c r="D4" s="4"/>
      <x:c r="E4" s="4"/>
      <x:c r="F4" s="4"/>
      <x:c r="G4" s="4"/>
    </x:row>
    <x:row r="5" ht="25" customHeight="1">
      <x:c r="A5" s="2"/>
      <x:c r="B5" s="2"/>
      <x:c r="C5" s="2"/>
      <x:c r="D5" s="2"/>
      <x:c r="E5" s="2"/>
      <x:c r="F5" s="2"/>
      <x:c r="G5" s="2"/>
    </x:row>
    <x:row r="6" ht="40" customHeight="1">
      <x:c r="A6" s="2"/>
      <x:c r="B6" s="13" t="str">
        <x:v>Rechengröße</x:v>
      </x:c>
      <x:c r="C6" s="14" t="str">
        <x:v>Gründung</x:v>
      </x:c>
      <x:c r="D6" s="14" t="str">
        <x:v>Nach Seed</x:v>
      </x:c>
      <x:c r="E6" s="14" t="str">
        <x:v>Nach Serie A</x:v>
      </x:c>
      <x:c r="F6" s="15" t="str">
        <x:v>Nach Serie B</x:v>
      </x:c>
      <x:c r="G6" s="2"/>
    </x:row>
    <x:row r="7" ht="25" customHeight="1">
      <x:c r="A7" s="2"/>
      <x:c r="B7" s="2" t="str">
        <x:v>Echte Nominale (EUR)</x:v>
      </x:c>
      <x:c r="C7" s="32" t="n">
        <x:f>'Cap Table'!C18</x:f>
        <x:v>25000</x:v>
      </x:c>
      <x:c r="D7" s="32" t="n">
        <x:f>'Cap Table'!D18</x:f>
        <x:v>30000</x:v>
      </x:c>
      <x:c r="E7" s="32" t="n">
        <x:f>'Cap Table'!E18</x:f>
        <x:v>40000</x:v>
      </x:c>
      <x:c r="F7" s="32" t="n">
        <x:f>'Cap Table'!F18</x:f>
        <x:v>60000</x:v>
      </x:c>
      <x:c r="G7" s="2"/>
    </x:row>
    <x:row r="8" ht="25" customHeight="1">
      <x:c r="A8" s="2"/>
      <x:c r="B8" s="2" t="str">
        <x:v>Poolziel nach virtueller Erweiterung</x:v>
      </x:c>
      <x:c r="C8" s="53" t="n">
        <x:f>'Eingaben'!C24</x:f>
        <x:v>0.1</x:v>
      </x:c>
      <x:c r="D8" s="53" t="n">
        <x:f>'Eingaben'!C24</x:f>
        <x:v>0.1</x:v>
      </x:c>
      <x:c r="E8" s="53" t="n">
        <x:f>'Eingaben'!C24</x:f>
        <x:v>0.1</x:v>
      </x:c>
      <x:c r="F8" s="53" t="n">
        <x:f>'Eingaben'!C24</x:f>
        <x:v>0.1</x:v>
      </x:c>
      <x:c r="G8" s="2"/>
    </x:row>
    <x:row r="9" ht="25" customHeight="1">
      <x:c r="A9" s="2"/>
      <x:c r="B9" s="2"/>
      <x:c r="C9" s="34"/>
      <x:c r="D9" s="34"/>
      <x:c r="E9" s="34"/>
      <x:c r="F9" s="34"/>
      <x:c r="G9" s="2"/>
    </x:row>
    <x:row r="10" ht="25" customHeight="1">
      <x:c r="A10" s="2"/>
      <x:c r="B10" s="2" t="str">
        <x:v>Virtuelle Recheneinheiten, ungerundet</x:v>
      </x:c>
      <x:c r="C10" s="54" t="n">
        <x:f>C7*C8/(1-C8)</x:f>
        <x:v>2777.777777777778</x:v>
      </x:c>
      <x:c r="D10" s="54" t="n">
        <x:f>D7*D8/(1-D8)</x:f>
        <x:v>3333.333333333333</x:v>
      </x:c>
      <x:c r="E10" s="54" t="n">
        <x:f>E7*E8/(1-E8)</x:f>
        <x:v>4444.444444444444</x:v>
      </x:c>
      <x:c r="F10" s="54" t="n">
        <x:f>F7*F8/(1-F8)</x:f>
        <x:v>6666.666666666666</x:v>
      </x:c>
      <x:c r="G10" s="2"/>
    </x:row>
    <x:row r="11" ht="25" customHeight="1">
      <x:c r="A11" s="2"/>
      <x:c r="B11" s="2" t="str">
        <x:v>Recheneinheiten gesamt, ungerundet</x:v>
      </x:c>
      <x:c r="C11" s="54" t="n">
        <x:f>SUM(C7,C10)</x:f>
        <x:v>27777.777777777777</x:v>
      </x:c>
      <x:c r="D11" s="54" t="n">
        <x:f>SUM(D7,D10)</x:f>
        <x:v>33333.333333333336</x:v>
      </x:c>
      <x:c r="E11" s="54" t="n">
        <x:f>SUM(E7,E10)</x:f>
        <x:v>44444.444444444445</x:v>
      </x:c>
      <x:c r="F11" s="54" t="n">
        <x:f>SUM(F7,F10)</x:f>
        <x:v>66666.66666666667</x:v>
      </x:c>
      <x:c r="G11" s="2"/>
    </x:row>
    <x:row r="12" ht="25" customHeight="1">
      <x:c r="A12" s="2"/>
      <x:c r="B12" s="2" t="str">
        <x:v>Poolquote rechnerisch</x:v>
      </x:c>
      <x:c r="C12" s="38" t="n">
        <x:f>C10/C11</x:f>
        <x:v>0.1</x:v>
      </x:c>
      <x:c r="D12" s="38" t="n">
        <x:f>D10/D11</x:f>
        <x:v>0.09999999999999998</x:v>
      </x:c>
      <x:c r="E12" s="38" t="n">
        <x:f>E10/E11</x:f>
        <x:v>0.09999999999999999</x:v>
      </x:c>
      <x:c r="F12" s="38" t="n">
        <x:f>F10/F11</x:f>
        <x:v>0.09999999999999998</x:v>
      </x:c>
      <x:c r="G12" s="2"/>
    </x:row>
    <x:row r="13" ht="25" customHeight="1">
      <x:c r="A13" s="2"/>
      <x:c r="B13" s="2"/>
      <x:c r="C13" s="34"/>
      <x:c r="D13" s="34"/>
      <x:c r="E13" s="34"/>
      <x:c r="F13" s="34"/>
      <x:c r="G13" s="2"/>
    </x:row>
    <x:row r="14" ht="25" customHeight="1">
      <x:c r="A14" s="2"/>
      <x:c r="B14" s="2" t="str">
        <x:v>Gründerteam vor virtuellem Pool</x:v>
      </x:c>
      <x:c r="C14" s="53" t="n">
        <x:f>SUM('Cap Table'!C7:C13)/C7</x:f>
        <x:v>1</x:v>
      </x:c>
      <x:c r="D14" s="53" t="n">
        <x:f>SUM('Cap Table'!D7:D13)/D7</x:f>
        <x:v>0.8333333333333334</x:v>
      </x:c>
      <x:c r="E14" s="53" t="n">
        <x:f>SUM('Cap Table'!E7:E13)/E7</x:f>
        <x:v>0.625</x:v>
      </x:c>
      <x:c r="F14" s="53" t="n">
        <x:f>SUM('Cap Table'!F7:F13)/F7</x:f>
        <x:v>0.4166666666666667</x:v>
      </x:c>
      <x:c r="G14" s="2"/>
    </x:row>
    <x:row r="15" ht="25" customHeight="1">
      <x:c r="A15" s="2"/>
      <x:c r="B15" s="2" t="str">
        <x:v>Gründerteam wirtschaftlich nach Pool</x:v>
      </x:c>
      <x:c r="C15" s="53" t="n">
        <x:f>SUM('Cap Table'!C7:C13)/C11</x:f>
        <x:v>0.9</x:v>
      </x:c>
      <x:c r="D15" s="53" t="n">
        <x:f>SUM('Cap Table'!D7:D13)/D11</x:f>
        <x:v>0.75</x:v>
      </x:c>
      <x:c r="E15" s="53" t="n">
        <x:f>SUM('Cap Table'!E7:E13)/E11</x:f>
        <x:v>0.5625</x:v>
      </x:c>
      <x:c r="F15" s="53" t="n">
        <x:f>SUM('Cap Table'!F7:F13)/F11</x:f>
        <x:v>0.375</x:v>
      </x:c>
      <x:c r="G15" s="2"/>
    </x:row>
    <x:row r="16" ht="25" customHeight="1">
      <x:c r="A16" s="2"/>
      <x:c r="B16" s="2"/>
      <x:c r="C16" s="34"/>
      <x:c r="D16" s="34"/>
      <x:c r="E16" s="34"/>
      <x:c r="F16" s="34"/>
      <x:c r="G16" s="2"/>
    </x:row>
    <x:row r="17" ht="25" customHeight="1">
      <x:c r="A17" s="2"/>
      <x:c r="B17" s="2" t="str">
        <x:v>Ottilie vor virtuellem Pool</x:v>
      </x:c>
      <x:c r="C17" s="53" t="n">
        <x:f>'Cap Table'!C7/C7</x:f>
        <x:v>0.21</x:v>
      </x:c>
      <x:c r="D17" s="53" t="n">
        <x:f>'Cap Table'!D7/D7</x:f>
        <x:v>0.175</x:v>
      </x:c>
      <x:c r="E17" s="53" t="n">
        <x:f>'Cap Table'!E7/E7</x:f>
        <x:v>0.13125</x:v>
      </x:c>
      <x:c r="F17" s="53" t="n">
        <x:f>'Cap Table'!F7/F7</x:f>
        <x:v>0.0875</x:v>
      </x:c>
      <x:c r="G17" s="2"/>
    </x:row>
    <x:row r="18" ht="25" customHeight="1">
      <x:c r="A18" s="2"/>
      <x:c r="B18" s="2" t="str">
        <x:v>Ottilie wirtschaftlich nach Pool</x:v>
      </x:c>
      <x:c r="C18" s="53" t="n">
        <x:f>'Cap Table'!C7/C11</x:f>
        <x:v>0.189</x:v>
      </x:c>
      <x:c r="D18" s="53" t="n">
        <x:f>'Cap Table'!D7/D11</x:f>
        <x:v>0.1575</x:v>
      </x:c>
      <x:c r="E18" s="53" t="n">
        <x:f>'Cap Table'!E7/E11</x:f>
        <x:v>0.118125</x:v>
      </x:c>
      <x:c r="F18" s="53" t="n">
        <x:f>'Cap Table'!F7/F11</x:f>
        <x:v>0.07875</x:v>
      </x:c>
      <x:c r="G18" s="2"/>
    </x:row>
    <x:row r="19" ht="25" customHeight="1">
      <x:c r="A19" s="2"/>
      <x:c r="B19" s="2"/>
      <x:c r="C19" s="34"/>
      <x:c r="D19" s="34"/>
      <x:c r="E19" s="34"/>
      <x:c r="F19" s="34"/>
      <x:c r="G19" s="2"/>
    </x:row>
    <x:row r="20" ht="25" customHeight="1">
      <x:c r="A20" s="2"/>
      <x:c r="B20" s="2" t="str">
        <x:v>Zusätzliche Stimmrechte durch VSOP</x:v>
      </x:c>
      <x:c r="C20" s="34" t="n">
        <x:v>0</x:v>
      </x:c>
      <x:c r="D20" s="34" t="n">
        <x:v>0</x:v>
      </x:c>
      <x:c r="E20" s="34" t="n">
        <x:v>0</x:v>
      </x:c>
      <x:c r="F20" s="34" t="n">
        <x:v>0</x:v>
      </x:c>
      <x:c r="G20" s="2"/>
    </x:row>
    <x:row r="21" ht="25" customHeight="1">
      <x:c r="A21" s="2"/>
      <x:c r="B21" s="2"/>
      <x:c r="C21" s="2"/>
      <x:c r="D21" s="2"/>
      <x:c r="E21" s="2"/>
      <x:c r="F21" s="2"/>
      <x:c r="G21" s="2"/>
    </x:row>
    <x:row r="22" ht="25" customHeight="1">
      <x:c r="A22" s="2"/>
      <x:c r="B22" s="2"/>
      <x:c r="C22" s="2"/>
      <x:c r="D22" s="2"/>
      <x:c r="E22" s="2"/>
      <x:c r="F22" s="2"/>
      <x:c r="G22" s="2"/>
    </x:row>
    <x:row r="23" ht="46" customHeight="1">
      <x:c r="A23" s="2"/>
      <x:c r="B23" s="27" t="str">
        <x:v>10 % „fully diluted“ bedeutet hier: zehn Prozent an der virtuellen Gesamtrechengröße nach Einrichtung des Pools. Die dafür nötigen Einheiten werden nicht auf echte Geschäftsanteile gerundet.</x:v>
      </x:c>
      <x:c r="C23" s="27"/>
      <x:c r="D23" s="27"/>
      <x:c r="E23" s="27"/>
      <x:c r="F23" s="27"/>
      <x:c r="G23" s="2"/>
    </x:row>
    <x:row r="24" ht="25" customHeight="1">
      <x:c r="A24" s="2"/>
      <x:c r="B24" s="2"/>
      <x:c r="C24" s="2"/>
      <x:c r="D24" s="2"/>
      <x:c r="E24" s="2"/>
      <x:c r="F24" s="2"/>
      <x:c r="G24" s="2"/>
    </x:row>
    <x:row r="25" ht="46" customHeight="1">
      <x:c r="A25" s="2"/>
      <x:c r="B25" s="27" t="str">
        <x:v>Reine wirtschaftliche Modellrechnung. Es gibt bisher keine VSOP-Zusage, keine Zuteilung, keinen Ausübungsfall und keine zusätzlichen Stimmen. Auszahlungsbedingungen bleiben offen.</x:v>
      </x:c>
      <x:c r="C25" s="27"/>
      <x:c r="D25" s="27"/>
      <x:c r="E25" s="27"/>
      <x:c r="F25" s="27"/>
      <x:c r="G25" s="2"/>
    </x:row>
    <x:row r="26" ht="25" customHeight="1">
      <x:c r="A26" s="2"/>
      <x:c r="B26" s="2"/>
      <x:c r="C26" s="2"/>
      <x:c r="D26" s="2"/>
      <x:c r="E26" s="2"/>
      <x:c r="F26" s="2"/>
      <x:c r="G26" s="2"/>
    </x:row>
    <x:row r="27" ht="25" customHeight="1">
      <x:c r="A27" s="2"/>
      <x:c r="B27" s="2"/>
      <x:c r="C27" s="2"/>
      <x:c r="D27" s="2"/>
      <x:c r="E27" s="2"/>
      <x:c r="F27" s="2"/>
      <x:c r="G27" s="2"/>
    </x:row>
    <x:row r="28" ht="25" customHeight="1">
      <x:c r="A28" s="2"/>
      <x:c r="B28" s="2"/>
      <x:c r="C28" s="2"/>
      <x:c r="D28" s="2"/>
      <x:c r="E28" s="2"/>
      <x:c r="F28" s="2"/>
      <x:c r="G28" s="2"/>
    </x:row>
    <x:row r="29" ht="25" customHeight="1">
      <x:c r="A29" s="2"/>
      <x:c r="B29" s="2"/>
      <x:c r="C29" s="2"/>
      <x:c r="D29" s="2"/>
      <x:c r="E29" s="2"/>
      <x:c r="F29" s="2"/>
      <x:c r="G29" s="2"/>
    </x:row>
  </x:sheetData>
  <x:mergeCells>
    <x:mergeCell ref="B23:F23"/>
    <x:mergeCell ref="B25:F25"/>
  </x:mergeCells>
  <x:pageMargins left="0.25" right="0.25" top="0.35" bottom="0.35" header="0.15" footer="0.15"/>
  <x:pageSetup paperSize="9" orientation="landscape" fitToWidth="1" fitToHeight="0"/>
</x:worksheet>
</file>

<file path=xl/worksheets/sheet4.xml><?xml version="1.0" encoding="utf-8"?>
<x:worksheet xmlns:x="http://schemas.openxmlformats.org/spreadsheetml/2006/main">
  <x:sheetPr>
    <x:tabColor rgb="FF234769"/>
    <x:pageSetUpPr fitToPage="1"/>
  </x:sheetPr>
  <x:sheetViews>
    <x:sheetView showGridLines="0" workbookViewId="0"/>
  </x:sheetViews>
  <x:sheetFormatPr defaultRowHeight="15"/>
  <x:cols>
    <x:col min="1" max="1" width="2" hidden="0" customWidth="1"/>
    <x:col min="2" max="2" width="33.33000183105469" hidden="0" customWidth="1"/>
    <x:col min="3" max="3" width="16.110000610351562" hidden="0" customWidth="1"/>
    <x:col min="4" max="4" width="16.670000076293945" hidden="0" customWidth="1"/>
    <x:col min="5" max="5" width="18.889999389648438" hidden="0" customWidth="1"/>
    <x:col min="6" max="6" width="21.110000610351562" hidden="0" customWidth="1"/>
    <x:col min="7" max="7" width="21.110000610351562" hidden="0" customWidth="1"/>
    <x:col min="8" max="8" width="11.109999656677246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2"/>
      <x:c r="B2" s="3" t="str">
        <x:v>Schnittflug: Eingaben zur Beteiligung</x:v>
      </x:c>
      <x:c r="C2" s="2"/>
      <x:c r="D2" s="2"/>
      <x:c r="E2" s="2"/>
      <x:c r="F2" s="2"/>
      <x:c r="G2" s="2"/>
      <x:c r="H2" s="2"/>
    </x:row>
    <x:row r="3" ht="24" customHeight="1">
      <x:c r="A3" s="2"/>
      <x:c r="B3" s="2" t="str">
        <x:v>Stand 28.09.2026. Ottilie Kühnle. Nicht vollzogene Planung.</x:v>
      </x:c>
      <x:c r="C3" s="2"/>
      <x:c r="D3" s="2"/>
      <x:c r="E3" s="2"/>
      <x:c r="F3" s="2"/>
      <x:c r="G3" s="2"/>
      <x:c r="H3" s="2"/>
    </x:row>
    <x:row r="4" ht="25" customHeight="1">
      <x:c r="A4" s="2"/>
      <x:c r="B4" s="4"/>
      <x:c r="C4" s="4"/>
      <x:c r="D4" s="4"/>
      <x:c r="E4" s="4"/>
      <x:c r="F4" s="4"/>
      <x:c r="G4" s="4"/>
      <x:c r="H4" s="4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40" customHeight="1">
      <x:c r="A6" s="2"/>
      <x:c r="B6" s="13" t="str">
        <x:v>Gründerin oder Gründer</x:v>
      </x:c>
      <x:c r="C6" s="14" t="str">
        <x:v>Nominal geplant (EUR)</x:v>
      </x:c>
      <x:c r="D6" s="15" t="str">
        <x:v>Person-ID</x:v>
      </x:c>
      <x:c r="E6" s="2"/>
      <x:c r="F6" s="2"/>
      <x:c r="G6" s="2"/>
      <x:c r="H6" s="2"/>
    </x:row>
    <x:row r="7" ht="25" customHeight="1">
      <x:c r="A7" s="2"/>
      <x:c r="B7" s="2" t="str">
        <x:v>Ottilie Kühnle</x:v>
      </x:c>
      <x:c r="C7" s="18" t="n">
        <x:v>5250</x:v>
      </x:c>
      <x:c r="D7" s="2" t="str">
        <x:v>F01</x:v>
      </x:c>
      <x:c r="E7" s="2"/>
      <x:c r="F7" s="2"/>
      <x:c r="G7" s="2"/>
      <x:c r="H7" s="2"/>
    </x:row>
    <x:row r="8" ht="25" customHeight="1">
      <x:c r="A8" s="2"/>
      <x:c r="B8" s="2" t="str">
        <x:v>Eberhard Demir</x:v>
      </x:c>
      <x:c r="C8" s="18" t="n">
        <x:v>5500</x:v>
      </x:c>
      <x:c r="D8" s="2" t="str">
        <x:v>F02</x:v>
      </x:c>
      <x:c r="E8" s="2"/>
      <x:c r="F8" s="2"/>
      <x:c r="G8" s="2"/>
      <x:c r="H8" s="2"/>
    </x:row>
    <x:row r="9" ht="25" customHeight="1">
      <x:c r="A9" s="2"/>
      <x:c r="B9" s="2" t="str">
        <x:v>Kunigunde Nguyen</x:v>
      </x:c>
      <x:c r="C9" s="18" t="n">
        <x:v>4500</x:v>
      </x:c>
      <x:c r="D9" s="2" t="str">
        <x:v>F03</x:v>
      </x:c>
      <x:c r="E9" s="2"/>
      <x:c r="F9" s="2"/>
      <x:c r="G9" s="2"/>
      <x:c r="H9" s="2"/>
    </x:row>
    <x:row r="10" ht="25" customHeight="1">
      <x:c r="A10" s="2"/>
      <x:c r="B10" s="2" t="str">
        <x:v>Nepomuk Huber</x:v>
      </x:c>
      <x:c r="C10" s="18" t="n">
        <x:v>3750</x:v>
      </x:c>
      <x:c r="D10" s="2" t="str">
        <x:v>F04</x:v>
      </x:c>
      <x:c r="E10" s="2"/>
      <x:c r="F10" s="2"/>
      <x:c r="G10" s="2"/>
      <x:c r="H10" s="2"/>
    </x:row>
    <x:row r="11" ht="25" customHeight="1">
      <x:c r="A11" s="2"/>
      <x:c r="B11" s="2" t="str">
        <x:v>Wilhelmine Okafor</x:v>
      </x:c>
      <x:c r="C11" s="18" t="n">
        <x:v>2500</x:v>
      </x:c>
      <x:c r="D11" s="2" t="str">
        <x:v>F05</x:v>
      </x:c>
      <x:c r="E11" s="2"/>
      <x:c r="F11" s="2"/>
      <x:c r="G11" s="2"/>
      <x:c r="H11" s="2"/>
    </x:row>
    <x:row r="12" ht="25" customHeight="1">
      <x:c r="A12" s="2"/>
      <x:c r="B12" s="2" t="str">
        <x:v>Alois Rossi</x:v>
      </x:c>
      <x:c r="C12" s="18" t="n">
        <x:v>2000</x:v>
      </x:c>
      <x:c r="D12" s="2" t="str">
        <x:v>F06</x:v>
      </x:c>
      <x:c r="E12" s="2"/>
      <x:c r="F12" s="2"/>
      <x:c r="G12" s="2"/>
      <x:c r="H12" s="2"/>
    </x:row>
    <x:row r="13" ht="25" customHeight="1">
      <x:c r="A13" s="2"/>
      <x:c r="B13" s="2" t="str">
        <x:v>Thekla Ben-Ami</x:v>
      </x:c>
      <x:c r="C13" s="18" t="n">
        <x:v>1500</x:v>
      </x:c>
      <x:c r="D13" s="2" t="str">
        <x:v>F07</x:v>
      </x:c>
      <x:c r="E13" s="2"/>
      <x:c r="F13" s="2"/>
      <x:c r="G13" s="2"/>
      <x:c r="H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</x:row>
    <x:row r="15" ht="28" customHeight="1">
      <x:c r="A15" s="2"/>
      <x:c r="B15" s="23" t="str">
        <x:v>Summe Gründung</x:v>
      </x:c>
      <x:c r="C15" s="25" t="n">
        <x:f>SUM(C7:C13)</x:f>
        <x:v>25000</x:v>
      </x:c>
      <x:c r="D15" s="23"/>
      <x:c r="E15" s="2"/>
      <x:c r="F15" s="2"/>
      <x:c r="G15" s="2"/>
      <x:c r="H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</x:row>
    <x:row r="18" ht="40" customHeight="1">
      <x:c r="A18" s="2"/>
      <x:c r="B18" s="13" t="str">
        <x:v>Planungsrunde</x:v>
      </x:c>
      <x:c r="C18" s="14" t="str">
        <x:v>Neue Nominale (EUR)</x:v>
      </x:c>
      <x:c r="D18" s="14" t="str">
        <x:v>Zufluss (EUR)</x:v>
      </x:c>
      <x:c r="E18" s="14" t="str">
        <x:v>Pre-Money laut Gespräch</x:v>
      </x:c>
      <x:c r="F18" s="15" t="str">
        <x:v>Post-Money laut Gespräch</x:v>
      </x:c>
      <x:c r="G18" s="2"/>
      <x:c r="H18" s="2"/>
    </x:row>
    <x:row r="19" ht="25" customHeight="1">
      <x:c r="A19" s="2"/>
      <x:c r="B19" s="2" t="str">
        <x:v>Seed</x:v>
      </x:c>
      <x:c r="C19" s="18" t="n">
        <x:v>5000</x:v>
      </x:c>
      <x:c r="D19" s="18" t="n">
        <x:v>600000</x:v>
      </x:c>
      <x:c r="E19" s="18" t="n">
        <x:v>3000000</x:v>
      </x:c>
      <x:c r="F19" s="18" t="n">
        <x:v>3600000</x:v>
      </x:c>
      <x:c r="G19" s="2"/>
      <x:c r="H19" s="2"/>
    </x:row>
    <x:row r="20" ht="25" customHeight="1">
      <x:c r="A20" s="2"/>
      <x:c r="B20" s="2" t="str">
        <x:v>Serie A</x:v>
      </x:c>
      <x:c r="C20" s="18" t="n">
        <x:v>10000</x:v>
      </x:c>
      <x:c r="D20" s="18" t="n">
        <x:v>2400000</x:v>
      </x:c>
      <x:c r="E20" s="18" t="n">
        <x:v>7200000</x:v>
      </x:c>
      <x:c r="F20" s="18" t="n">
        <x:v>9600000</x:v>
      </x:c>
      <x:c r="G20" s="2"/>
      <x:c r="H20" s="2"/>
    </x:row>
    <x:row r="21" ht="25" customHeight="1">
      <x:c r="A21" s="2"/>
      <x:c r="B21" s="2" t="str">
        <x:v>Serie B</x:v>
      </x:c>
      <x:c r="C21" s="18" t="n">
        <x:v>20000</x:v>
      </x:c>
      <x:c r="D21" s="18" t="n">
        <x:v>1800000</x:v>
      </x:c>
      <x:c r="E21" s="18" t="n">
        <x:v>3600000</x:v>
      </x:c>
      <x:c r="F21" s="18" t="n">
        <x:v>5400000</x:v>
      </x:c>
      <x:c r="G21" s="2"/>
      <x:c r="H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</x:row>
    <x:row r="24" ht="25" customHeight="1">
      <x:c r="A24" s="2"/>
      <x:c r="B24" s="2" t="str">
        <x:v>Virtueller Anteil nach Pool</x:v>
      </x:c>
      <x:c r="C24" s="26" t="n">
        <x:v>0.1</x:v>
      </x:c>
      <x:c r="D24" s="2"/>
      <x:c r="E24" s="2"/>
      <x:c r="F24" s="2"/>
      <x:c r="G24" s="2"/>
      <x:c r="H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</x:row>
    <x:row r="27" ht="38" customHeight="1">
      <x:c r="A27" s="2"/>
      <x:c r="B27" s="27" t="str">
        <x:v>Quelle: Gründerabstimmung und Investorengespräche, Stand 28.09.2026. Sämtliche Zahlen sind unbeschlossene Verhandlungsstände.</x:v>
      </x:c>
      <x:c r="C27" s="27"/>
      <x:c r="D27" s="27"/>
      <x:c r="E27" s="27"/>
      <x:c r="F27" s="27"/>
      <x:c r="G27" s="27"/>
      <x:c r="H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</x:row>
    <x:row r="29" ht="42" customHeight="1">
      <x:c r="A29" s="2"/>
      <x:c r="B29" s="27" t="str">
        <x:v>Blaue Werte auf gelbem Grund sind Eingaben. Echte Geschäftsanteile werden nur in vollen EUR geplant. Virtuelle Einheiten sind keine Geschäftsanteile.</x:v>
      </x:c>
      <x:c r="C29" s="27"/>
      <x:c r="D29" s="27"/>
      <x:c r="E29" s="27"/>
      <x:c r="F29" s="27"/>
      <x:c r="G29" s="27"/>
      <x:c r="H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42" customHeight="1">
      <x:c r="A31" s="2"/>
      <x:c r="B31" s="27" t="str">
        <x:v>Der Nominalwert ist vom wirtschaftlichen Preis zu trennen. Ein späterer Bezugsrechtsausgleich, Anti-Dilution oder Optionsausübung ist hier nicht eingerechnet.</x:v>
      </x:c>
      <x:c r="C31" s="27"/>
      <x:c r="D31" s="27"/>
      <x:c r="E31" s="27"/>
      <x:c r="F31" s="27"/>
      <x:c r="G31" s="27"/>
      <x:c r="H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</x:row>
  </x:sheetData>
  <x:mergeCells>
    <x:mergeCell ref="B27:G27"/>
    <x:mergeCell ref="B29:G29"/>
    <x:mergeCell ref="B31:G31"/>
  </x:mergeCells>
  <x:dataValidations count="2">
    <x:dataValidation type="whole" operator="between" sqref="C7:C13">
      <x:formula1>1</x:formula1>
      <x:formula2>1000000</x:formula2>
    </x:dataValidation>
    <x:dataValidation type="whole" operator="between" sqref="C19:C21">
      <x:formula1>1</x:formula1>
      <x:formula2>1000000</x:formula2>
    </x:dataValidation>
  </x:dataValidations>
  <x:pageMargins left="0.25" right="0.25" top="0.35" bottom="0.35" header="0.15" footer="0.15"/>
  <x:pageSetup paperSize="9" orientation="landscape" fitToWidth="1" fitToHeight="0"/>
</x:worksheet>
</file>