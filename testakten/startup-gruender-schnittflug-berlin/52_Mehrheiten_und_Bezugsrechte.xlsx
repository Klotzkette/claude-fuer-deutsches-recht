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1e0c7f88b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stimmung" sheetId="1" r:id="Rdecdac363e1148a3"/>
    <x:sheet xmlns:r="http://schemas.openxmlformats.org/officeDocument/2006/relationships" name="Bezugsrechte" sheetId="2" r:id="Red0b5fafc7d44b99"/>
    <x:sheet xmlns:r="http://schemas.openxmlformats.org/officeDocument/2006/relationships" name="Eingaben" sheetId="3" r:id="R85e061d6c82349aa"/>
  </x:sheets>
  <x:definedNames>
    <x:definedName name="_xlnm.Print_Area" localSheetId="0">'Abstimmung'!$B$2:$G$36</x:definedName>
    <x:definedName name="_xlnm.Print_Area" localSheetId="1">'Bezugsrechte'!$B$2:$I$34</x:definedName>
    <x:definedName name="_xlnm.Print_Area" localSheetId="2">'Eingaben'!$B$2:$G$37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–&quot;"/>
    <x:numFmt numFmtId="201" formatCode="0.00%;(0.00%);&quot;–&quot;"/>
    <x:numFmt numFmtId="202" formatCode="#,##0.00;(#,##0.00);&quot;–&quot;"/>
    <x:numFmt numFmtId="203" formatCode="#,##0.0000"/>
  </x:numFmts>
  <x:fonts count="8">
    <x:font>
      <x:sz val="11"/>
      <x:name val="Carlito"/>
    </x:font>
    <x:font>
      <x:sz val="11"/>
      <x:color rgb="FF1D2833"/>
      <x:name val="Arial"/>
    </x:font>
    <x:font>
      <x:b/>
      <x:sz val="16"/>
      <x:color rgb="FF234769"/>
      <x:name val="Arial"/>
    </x:font>
    <x:font>
      <x:b/>
      <x:sz val="11"/>
      <x:color rgb="FFFFFFFF"/>
      <x:name val="Arial"/>
    </x:font>
    <x:font>
      <x:sz val="11"/>
      <x:color rgb="FF174FC0"/>
      <x:name val="Arial"/>
    </x:font>
    <x:font>
      <x:sz val="11"/>
      <x:color rgb="FF000000"/>
      <x:name val="Arial"/>
    </x:font>
    <x:font>
      <x:b/>
      <x:sz val="11"/>
      <x:color rgb="FF1D2833"/>
      <x:name val="Arial"/>
    </x:font>
    <x:font>
      <x:sz val="11"/>
      <x:color rgb="FF1765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769"/>
      </x:patternFill>
    </x:fill>
    <x:fill>
      <x:patternFill patternType="solid">
        <x:fgColor rgb="FFFFF3C4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234769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top style="thin">
        <x:color rgb="FF234769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horizontal="right" vertical="center"/>
    </x:xf>
    <x:xf numFmtId="0" fontId="6" fillId="4" borderId="4" xfId="0" applyNumberFormat="1" applyFont="1" applyFill="1" applyBorder="1" applyAlignment="1">
      <x:alignment vertical="center"/>
    </x:xf>
    <x:xf numFmtId="200" fontId="6" fillId="4" borderId="4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6" fillId="4" borderId="4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4" borderId="4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4" borderId="4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4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6" fillId="4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598defd0f4358" /><Relationship Type="http://schemas.openxmlformats.org/officeDocument/2006/relationships/theme" Target="/xl/theme/theme1.xml" Id="Rb4ce7bcaa5f74dd1" /><Relationship Type="http://schemas.openxmlformats.org/officeDocument/2006/relationships/sharedStrings" Target="/xl/sharedStrings.xml" Id="Rb4ae3a1efc86432e" /><Relationship Type="http://schemas.openxmlformats.org/officeDocument/2006/relationships/worksheet" Target="/xl/worksheets/sheet1.xml" Id="Rdecdac363e1148a3" /><Relationship Type="http://schemas.openxmlformats.org/officeDocument/2006/relationships/worksheet" Target="/xl/worksheets/sheet2.xml" Id="Red0b5fafc7d44b99" /><Relationship Type="http://schemas.openxmlformats.org/officeDocument/2006/relationships/worksheet" Target="/xl/worksheets/sheet3.xml" Id="R85e061d6c82349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36.66999816894531" hidden="0" customWidth="1"/>
    <x:col min="3" max="3" width="16.670000076293945" hidden="0" customWidth="1"/>
    <x:col min="4" max="4" width="18.889999389648438" hidden="0" customWidth="1"/>
    <x:col min="5" max="5" width="17.780000686645508" hidden="0" customWidth="1"/>
    <x:col min="6" max="6" width="17.780000686645508" hidden="0" customWidth="1"/>
    <x:col min="7" max="7" width="16.670000076293945" hidden="0" customWidth="1"/>
    <x:col min="8" max="8" width="17.78000068664550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75 % und die Bezugsgröße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 t="str">
        <x:v>Abstimmungsfall (1 bis 5)</x:v>
      </x:c>
      <x:c r="C5" s="15" t="n">
        <x:v>1</x:v>
      </x:c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2"/>
      <x:c r="B7" s="11" t="str">
        <x:v>Person</x:v>
      </x:c>
      <x:c r="C7" s="28" t="str">
        <x:v>Nominal EUR</x:v>
      </x:c>
      <x:c r="D7" s="28" t="str">
        <x:v>Stimme</x:v>
      </x:c>
      <x:c r="E7" s="12" t="str">
        <x:v>Ja-Nominal EUR</x:v>
      </x:c>
      <x:c r="F7" s="2"/>
      <x:c r="G7" s="2"/>
      <x:c r="H7" s="2"/>
    </x:row>
    <x:row r="8" ht="25" customHeight="1">
      <x:c r="A8" s="2"/>
      <x:c r="B8" s="30" t="str">
        <x:f>'Eingaben'!B7</x:f>
        <x:v>Ottilie Kühnle</x:v>
      </x:c>
      <x:c r="C8" s="32" t="n">
        <x:f>'Eingaben'!C7</x:f>
        <x:v>5250</x:v>
      </x:c>
      <x:c r="D8" s="30" t="str">
        <x:f>INDEX('Eingaben'!$C$22:$G$28,1,$C$5)</x:f>
        <x:v>Nein</x:v>
      </x:c>
      <x:c r="E8" s="18" t="n">
        <x:f>IF(D8="Ja",C8,0)</x:f>
        <x:v>0</x:v>
      </x:c>
      <x:c r="F8" s="2"/>
      <x:c r="G8" s="2"/>
      <x:c r="H8" s="2"/>
    </x:row>
    <x:row r="9" ht="25" customHeight="1">
      <x:c r="A9" s="2"/>
      <x:c r="B9" s="30" t="str">
        <x:f>'Eingaben'!B8</x:f>
        <x:v>Eberhard Demir</x:v>
      </x:c>
      <x:c r="C9" s="32" t="n">
        <x:f>'Eingaben'!C8</x:f>
        <x:v>5500</x:v>
      </x:c>
      <x:c r="D9" s="30" t="str">
        <x:f>INDEX('Eingaben'!$C$22:$G$28,2,$C$5)</x:f>
        <x:v>Ja</x:v>
      </x:c>
      <x:c r="E9" s="18" t="n">
        <x:f>IF(D9="Ja",C9,0)</x:f>
        <x:v>5500</x:v>
      </x:c>
      <x:c r="F9" s="2"/>
      <x:c r="G9" s="2"/>
      <x:c r="H9" s="2"/>
    </x:row>
    <x:row r="10" ht="25" customHeight="1">
      <x:c r="A10" s="2"/>
      <x:c r="B10" s="30" t="str">
        <x:f>'Eingaben'!B9</x:f>
        <x:v>Kunigunde Nguyen</x:v>
      </x:c>
      <x:c r="C10" s="32" t="n">
        <x:f>'Eingaben'!C9</x:f>
        <x:v>4500</x:v>
      </x:c>
      <x:c r="D10" s="30" t="str">
        <x:f>INDEX('Eingaben'!$C$22:$G$28,3,$C$5)</x:f>
        <x:v>Ja</x:v>
      </x:c>
      <x:c r="E10" s="18" t="n">
        <x:f>IF(D10="Ja",C10,0)</x:f>
        <x:v>4500</x:v>
      </x:c>
      <x:c r="F10" s="2"/>
      <x:c r="G10" s="2"/>
      <x:c r="H10" s="2"/>
    </x:row>
    <x:row r="11" ht="25" customHeight="1">
      <x:c r="A11" s="2"/>
      <x:c r="B11" s="30" t="str">
        <x:f>'Eingaben'!B10</x:f>
        <x:v>Nepomuk Huber</x:v>
      </x:c>
      <x:c r="C11" s="32" t="n">
        <x:f>'Eingaben'!C10</x:f>
        <x:v>3750</x:v>
      </x:c>
      <x:c r="D11" s="30" t="str">
        <x:f>INDEX('Eingaben'!$C$22:$G$28,4,$C$5)</x:f>
        <x:v>Ja</x:v>
      </x:c>
      <x:c r="E11" s="18" t="n">
        <x:f>IF(D11="Ja",C11,0)</x:f>
        <x:v>3750</x:v>
      </x:c>
      <x:c r="F11" s="2"/>
      <x:c r="G11" s="2"/>
      <x:c r="H11" s="2"/>
    </x:row>
    <x:row r="12" ht="25" customHeight="1">
      <x:c r="A12" s="2"/>
      <x:c r="B12" s="30" t="str">
        <x:f>'Eingaben'!B11</x:f>
        <x:v>Wilhelmine Okafor</x:v>
      </x:c>
      <x:c r="C12" s="32" t="n">
        <x:f>'Eingaben'!C11</x:f>
        <x:v>2500</x:v>
      </x:c>
      <x:c r="D12" s="30" t="str">
        <x:f>INDEX('Eingaben'!$C$22:$G$28,5,$C$5)</x:f>
        <x:v>Ja</x:v>
      </x:c>
      <x:c r="E12" s="18" t="n">
        <x:f>IF(D12="Ja",C12,0)</x:f>
        <x:v>2500</x:v>
      </x:c>
      <x:c r="F12" s="2"/>
      <x:c r="G12" s="2"/>
      <x:c r="H12" s="2"/>
    </x:row>
    <x:row r="13" ht="25" customHeight="1">
      <x:c r="A13" s="2"/>
      <x:c r="B13" s="30" t="str">
        <x:f>'Eingaben'!B12</x:f>
        <x:v>Alois Rossi</x:v>
      </x:c>
      <x:c r="C13" s="32" t="n">
        <x:f>'Eingaben'!C12</x:f>
        <x:v>2000</x:v>
      </x:c>
      <x:c r="D13" s="30" t="str">
        <x:f>INDEX('Eingaben'!$C$22:$G$28,6,$C$5)</x:f>
        <x:v>Ja</x:v>
      </x:c>
      <x:c r="E13" s="18" t="n">
        <x:f>IF(D13="Ja",C13,0)</x:f>
        <x:v>2000</x:v>
      </x:c>
      <x:c r="F13" s="2"/>
      <x:c r="G13" s="2"/>
      <x:c r="H13" s="2"/>
    </x:row>
    <x:row r="14" ht="25" customHeight="1">
      <x:c r="A14" s="2"/>
      <x:c r="B14" s="30" t="str">
        <x:f>'Eingaben'!B13</x:f>
        <x:v>Thekla Ben-Ami</x:v>
      </x:c>
      <x:c r="C14" s="32" t="n">
        <x:f>'Eingaben'!C13</x:f>
        <x:v>1500</x:v>
      </x:c>
      <x:c r="D14" s="30" t="str">
        <x:f>INDEX('Eingaben'!$C$22:$G$28,7,$C$5)</x:f>
        <x:v>Ja</x:v>
      </x:c>
      <x:c r="E14" s="18" t="n">
        <x:f>IF(D14="Ja",C14,0)</x:f>
        <x:v>1500</x:v>
      </x:c>
      <x:c r="F14" s="2"/>
      <x:c r="G14" s="2"/>
      <x:c r="H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 t="str">
        <x:v>Ja-Stimmen (Nominal EUR)</x:v>
      </x:c>
      <x:c r="C17" s="18" t="n">
        <x:f>SUM(E8:E14)</x:f>
        <x:v>19750</x:v>
      </x:c>
      <x:c r="D17" s="2"/>
      <x:c r="E17" s="2"/>
      <x:c r="F17" s="2"/>
      <x:c r="G17" s="2"/>
      <x:c r="H17" s="2"/>
    </x:row>
    <x:row r="18" ht="25" customHeight="1">
      <x:c r="A18" s="2"/>
      <x:c r="B18" s="2" t="str">
        <x:v>Nein-Stimmen (Nominal EUR)</x:v>
      </x:c>
      <x:c r="C18" s="18" t="n">
        <x:f>SUMIFS(C8:C14,D8:D14,"Nein")</x:f>
        <x:v>5250</x:v>
      </x:c>
      <x:c r="D18" s="2"/>
      <x:c r="E18" s="2"/>
      <x:c r="F18" s="2"/>
      <x:c r="G18" s="2"/>
      <x:c r="H18" s="2"/>
    </x:row>
    <x:row r="19" ht="28" customHeight="1">
      <x:c r="A19" s="2"/>
      <x:c r="B19" s="23" t="str">
        <x:v>Gültig abgegebene Stimmen (EUR)</x:v>
      </x:c>
      <x:c r="C19" s="24" t="n">
        <x:f>SUM(C17:C18)</x:f>
        <x:v>25000</x:v>
      </x:c>
      <x:c r="D19" s="23"/>
      <x:c r="E19" s="23"/>
      <x:c r="F19" s="2"/>
      <x:c r="G19" s="2"/>
      <x:c r="H19" s="2"/>
    </x:row>
    <x:row r="20" ht="25" customHeight="1">
      <x:c r="A20" s="2"/>
      <x:c r="B20" s="2" t="str">
        <x:v>Stimmberechtigtes Kapital (EUR)</x:v>
      </x:c>
      <x:c r="C20" s="32" t="n">
        <x:f>'Eingaben'!C15</x:f>
        <x:v>25000</x:v>
      </x:c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40" customHeight="1">
      <x:c r="A23" s="2"/>
      <x:c r="B23" s="11" t="str">
        <x:v>Rechenregel</x:v>
      </x:c>
      <x:c r="C23" s="28" t="str">
        <x:v>Abgegebene Stimmen</x:v>
      </x:c>
      <x:c r="D23" s="12" t="str">
        <x:v>Gesamtes Kapital</x:v>
      </x:c>
      <x:c r="E23" s="2"/>
      <x:c r="F23" s="2"/>
      <x:c r="G23" s="2"/>
      <x:c r="H23" s="2"/>
    </x:row>
    <x:row r="24" ht="25" customHeight="1">
      <x:c r="A24" s="2"/>
      <x:c r="B24" s="2" t="str">
        <x:v>Ja-Anteil am jeweiligen Nenner</x:v>
      </x:c>
      <x:c r="C24" s="34" t="n">
        <x:f>IF(C19=0,"n.a.",C17/C19)</x:f>
        <x:v>0.79</x:v>
      </x:c>
      <x:c r="D24" s="34" t="n">
        <x:f>C17/C20</x:f>
        <x:v>0.79</x:v>
      </x:c>
      <x:c r="E24" s="2"/>
      <x:c r="F24" s="2"/>
      <x:c r="G24" s="2"/>
      <x:c r="H24" s="2"/>
    </x:row>
    <x:row r="25" ht="25" customHeight="1">
      <x:c r="A25" s="2"/>
      <x:c r="B25" s="2" t="str">
        <x:v>Erforderliche Quote</x:v>
      </x:c>
      <x:c r="C25" s="36" t="n">
        <x:f>'Eingaben'!C18</x:f>
        <x:v>0.75</x:v>
      </x:c>
      <x:c r="D25" s="34" t="n">
        <x:f>C25</x:f>
        <x:v>0.75</x:v>
      </x:c>
      <x:c r="E25" s="2"/>
      <x:c r="F25" s="2"/>
      <x:c r="G25" s="2"/>
      <x:c r="H25" s="2"/>
    </x:row>
    <x:row r="26" ht="43" customHeight="1">
      <x:c r="A26" s="2"/>
      <x:c r="B26" s="2" t="str">
        <x:v>Quote rechnerisch erreicht?</x:v>
      </x:c>
      <x:c r="C26" s="37" t="str">
        <x:f>IF(C19=0,"Keine gültige Stimme",IF(C24&gt;=C25,"Ja","Nein"))</x:f>
        <x:v>Ja</x:v>
      </x:c>
      <x:c r="D26" s="37" t="str">
        <x:f>IF(D24&gt;=D25,"Ja","Nein")</x:f>
        <x:v>Ja</x:v>
      </x:c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 t="str">
        <x:v>Ottilies Kapitalanteil bei Gründung</x:v>
      </x:c>
      <x:c r="C29" s="36" t="n">
        <x:f>'Eingaben'!C7/'Eingaben'!C15</x:f>
        <x:v>0.21</x:v>
      </x:c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40" customHeight="1">
      <x:c r="A32" s="2"/>
      <x:c r="B32" s="29" t="str">
        <x:v>Die zwei Spalten bilden konkurrierende Entwurfsfassungen ab. Ein rechnerisches „Ja“ ist keine Aussage zur Wirksamkeit eines Beschlusses.</x:v>
      </x:c>
      <x:c r="C32" s="29"/>
      <x:c r="D32" s="29"/>
      <x:c r="E32" s="29"/>
      <x:c r="F32" s="29"/>
      <x:c r="G32" s="29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42" customHeight="1">
      <x:c r="A34" s="2"/>
      <x:c r="B34" s="29" t="str">
        <x:v>Das Vertragsveto zu Budgetfragen ist hier nicht als allgemeine Sperrminorität eingerechnet. Die Matrix trifft keine Entscheidung über Ottilies Sozialversicherungspflicht.</x:v>
      </x:c>
      <x:c r="C34" s="29"/>
      <x:c r="D34" s="29"/>
      <x:c r="E34" s="29"/>
      <x:c r="F34" s="29"/>
      <x:c r="G34" s="29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42" customHeight="1">
      <x:c r="A36" s="2"/>
      <x:c r="B36" s="29" t="str">
        <x:v>Bei Enthaltung oder Abwesenheit werden keine gültigen Ja- oder Nein-Stimmen abgegeben. Stimmverbote und sonstige Sonderlagen sind vor Anwendung gesondert einzutragen.</x:v>
      </x:c>
      <x:c r="C36" s="29"/>
      <x:c r="D36" s="29"/>
      <x:c r="E36" s="29"/>
      <x:c r="F36" s="29"/>
      <x:c r="G36" s="29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</x:row>
  </x:sheetData>
  <x:mergeCells>
    <x:mergeCell ref="B32:G32"/>
    <x:mergeCell ref="B34:G34"/>
    <x:mergeCell ref="B36:G36"/>
  </x:mergeCells>
  <x:dataValidations count="1">
    <x:dataValidation type="whole" operator="between" sqref="C5">
      <x:formula1>1</x:formula1>
      <x:formula2>5</x:formula2>
    </x:dataValidation>
  </x:dataValidations>
  <x:pageMargins left="0.25" right="0.25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43.33000183105469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7.219999313354492" hidden="0" customWidth="1"/>
    <x:col min="8" max="8" width="17.219999313354492" hidden="0" customWidth="1"/>
    <x:col min="9" max="9" width="17.21999931335449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3" t="str">
        <x:v>Schnittflug: Serie B und Bezugsrechte</x:v>
      </x:c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</x:row>
    <x:row r="5" ht="25" customHeight="1">
      <x:c r="A5" s="2"/>
      <x:c r="B5" s="2" t="str">
        <x:v>Variante (1 bis 3)</x:v>
      </x:c>
      <x:c r="C5" s="15" t="n">
        <x:v>2</x:v>
      </x:c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 t="str">
        <x:v>Kapital vor Serie B (EUR)</x:v>
      </x:c>
      <x:c r="C7" s="32" t="n">
        <x:f>SUM('Eingaben'!C7:C13)+C9+C10</x:f>
        <x:v>40000</x:v>
      </x:c>
      <x:c r="D7" s="2" t="str">
        <x:v>Neu nominal EUR</x:v>
      </x:c>
      <x:c r="E7" s="15" t="n">
        <x:v>20000</x:v>
      </x:c>
      <x:c r="F7" s="2"/>
      <x:c r="G7" s="2"/>
      <x:c r="H7" s="2"/>
      <x:c r="I7" s="2"/>
    </x:row>
    <x:row r="8" ht="25" customHeight="1">
      <x:c r="A8" s="2"/>
      <x:c r="B8" s="2" t="str">
        <x:v>Zufluss Serie B (EUR)</x:v>
      </x:c>
      <x:c r="C8" s="38" t="n">
        <x:v>1800000</x:v>
      </x:c>
      <x:c r="D8" s="2" t="str">
        <x:v>Preis / EUR nominal</x:v>
      </x:c>
      <x:c r="E8" s="40" t="n">
        <x:f>C8/E7</x:f>
        <x:v>90</x:v>
      </x:c>
      <x:c r="F8" s="2"/>
      <x:c r="G8" s="2"/>
      <x:c r="H8" s="2"/>
      <x:c r="I8" s="2"/>
    </x:row>
    <x:row r="9" ht="25" customHeight="1">
      <x:c r="A9" s="2"/>
      <x:c r="B9" s="2" t="str">
        <x:v>Seed-Nominale (EUR)</x:v>
      </x:c>
      <x:c r="C9" s="15" t="n">
        <x:v>5000</x:v>
      </x:c>
      <x:c r="D9" s="2"/>
      <x:c r="E9" s="2"/>
      <x:c r="F9" s="2"/>
      <x:c r="G9" s="2"/>
      <x:c r="H9" s="2"/>
      <x:c r="I9" s="2"/>
    </x:row>
    <x:row r="10" ht="25" customHeight="1">
      <x:c r="A10" s="2"/>
      <x:c r="B10" s="2" t="str">
        <x:v>Serie-A-Nominale (EUR)</x:v>
      </x:c>
      <x:c r="C10" s="15" t="n">
        <x:v>10000</x:v>
      </x:c>
      <x:c r="D10" s="2"/>
      <x:c r="E10" s="2"/>
      <x:c r="F10" s="2"/>
      <x:c r="G10" s="2"/>
      <x:c r="H10" s="2"/>
      <x:c r="I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55" customHeight="1">
      <x:c r="A13" s="2"/>
      <x:c r="B13" s="11" t="str">
        <x:v>Person / Investor</x:v>
      </x:c>
      <x:c r="C13" s="28" t="str">
        <x:v>Vor B EUR</x:v>
      </x:c>
      <x:c r="D13" s="28" t="str">
        <x:v>Rechnerisch pro rata EUR</x:v>
      </x:c>
      <x:c r="E13" s="28" t="str">
        <x:v>Gewählte Zeichnung EUR</x:v>
      </x:c>
      <x:c r="F13" s="28" t="str">
        <x:v>Rundungsrest EUR</x:v>
      </x:c>
      <x:c r="G13" s="28" t="str">
        <x:v>Kapital nach B EUR</x:v>
      </x:c>
      <x:c r="H13" s="28" t="str">
        <x:v>Anteil nach B</x:v>
      </x:c>
      <x:c r="I13" s="12" t="str">
        <x:v>Zahlung bei Zeichnung EUR</x:v>
      </x:c>
    </x:row>
    <x:row r="14" ht="42" customHeight="1">
      <x:c r="A14" s="2"/>
      <x:c r="B14" s="29" t="str">
        <x:v>Ottilie Kühnle</x:v>
      </x:c>
      <x:c r="C14" s="32" t="n">
        <x:f>'Eingaben'!C7</x:f>
        <x:v>5250</x:v>
      </x:c>
      <x:c r="D14" s="45" t="n">
        <x:f>C14/$C$7*$E$7</x:f>
        <x:v>2625</x:v>
      </x:c>
      <x:c r="E14" s="18" t="n">
        <x:f>IF($C$5=1,ROUNDDOWN(D14,0),IF(AND($C$5=3,1=1),ROUNDDOWN(D14,0),0))</x:f>
        <x:v>0</x:v>
      </x:c>
      <x:c r="F14" s="45" t="n">
        <x:f>IF($C$5=1,D14-E14,IF(AND($C$5=3,1=1),D14-E14,0))</x:f>
        <x:v>0</x:v>
      </x:c>
      <x:c r="G14" s="18" t="n">
        <x:f>SUM(C14,E14)</x:f>
        <x:v>5250</x:v>
      </x:c>
      <x:c r="H14" s="34" t="n">
        <x:f>G14/($C$7+$E$7)</x:f>
        <x:v>0.0875</x:v>
      </x:c>
      <x:c r="I14" s="40" t="n">
        <x:f>E14*$E$8</x:f>
        <x:v>0</x:v>
      </x:c>
    </x:row>
    <x:row r="15" ht="42" customHeight="1">
      <x:c r="A15" s="2"/>
      <x:c r="B15" s="29" t="str">
        <x:v>Eberhard Demir</x:v>
      </x:c>
      <x:c r="C15" s="32" t="n">
        <x:f>'Eingaben'!C8</x:f>
        <x:v>5500</x:v>
      </x:c>
      <x:c r="D15" s="45" t="n">
        <x:f>C15/$C$7*$E$7</x:f>
        <x:v>2750</x:v>
      </x:c>
      <x:c r="E15" s="18" t="n">
        <x:f>IF($C$5=1,ROUNDDOWN(D15,0),IF(AND($C$5=3,2=1),ROUNDDOWN(D15,0),0))</x:f>
        <x:v>0</x:v>
      </x:c>
      <x:c r="F15" s="45" t="n">
        <x:f>IF($C$5=1,D15-E15,IF(AND($C$5=3,2=1),D15-E15,0))</x:f>
        <x:v>0</x:v>
      </x:c>
      <x:c r="G15" s="18" t="n">
        <x:f>SUM(C15,E15)</x:f>
        <x:v>5500</x:v>
      </x:c>
      <x:c r="H15" s="34" t="n">
        <x:f>G15/($C$7+$E$7)</x:f>
        <x:v>0.09166666666666666</x:v>
      </x:c>
      <x:c r="I15" s="40" t="n">
        <x:f>E15*$E$8</x:f>
        <x:v>0</x:v>
      </x:c>
    </x:row>
    <x:row r="16" ht="42" customHeight="1">
      <x:c r="A16" s="2"/>
      <x:c r="B16" s="29" t="str">
        <x:v>Kunigunde Nguyen</x:v>
      </x:c>
      <x:c r="C16" s="32" t="n">
        <x:f>'Eingaben'!C9</x:f>
        <x:v>4500</x:v>
      </x:c>
      <x:c r="D16" s="45" t="n">
        <x:f>C16/$C$7*$E$7</x:f>
        <x:v>2250</x:v>
      </x:c>
      <x:c r="E16" s="18" t="n">
        <x:f>IF($C$5=1,ROUNDDOWN(D16,0),IF(AND($C$5=3,3=1),ROUNDDOWN(D16,0),0))</x:f>
        <x:v>0</x:v>
      </x:c>
      <x:c r="F16" s="45" t="n">
        <x:f>IF($C$5=1,D16-E16,IF(AND($C$5=3,3=1),D16-E16,0))</x:f>
        <x:v>0</x:v>
      </x:c>
      <x:c r="G16" s="18" t="n">
        <x:f>SUM(C16,E16)</x:f>
        <x:v>4500</x:v>
      </x:c>
      <x:c r="H16" s="34" t="n">
        <x:f>G16/($C$7+$E$7)</x:f>
        <x:v>0.075</x:v>
      </x:c>
      <x:c r="I16" s="40" t="n">
        <x:f>E16*$E$8</x:f>
        <x:v>0</x:v>
      </x:c>
    </x:row>
    <x:row r="17" ht="42" customHeight="1">
      <x:c r="A17" s="2"/>
      <x:c r="B17" s="29" t="str">
        <x:v>Nepomuk Huber</x:v>
      </x:c>
      <x:c r="C17" s="32" t="n">
        <x:f>'Eingaben'!C10</x:f>
        <x:v>3750</x:v>
      </x:c>
      <x:c r="D17" s="45" t="n">
        <x:f>C17/$C$7*$E$7</x:f>
        <x:v>1875</x:v>
      </x:c>
      <x:c r="E17" s="18" t="n">
        <x:f>IF($C$5=1,ROUNDDOWN(D17,0),IF(AND($C$5=3,4=1),ROUNDDOWN(D17,0),0))</x:f>
        <x:v>0</x:v>
      </x:c>
      <x:c r="F17" s="45" t="n">
        <x:f>IF($C$5=1,D17-E17,IF(AND($C$5=3,4=1),D17-E17,0))</x:f>
        <x:v>0</x:v>
      </x:c>
      <x:c r="G17" s="18" t="n">
        <x:f>SUM(C17,E17)</x:f>
        <x:v>3750</x:v>
      </x:c>
      <x:c r="H17" s="34" t="n">
        <x:f>G17/($C$7+$E$7)</x:f>
        <x:v>0.0625</x:v>
      </x:c>
      <x:c r="I17" s="40" t="n">
        <x:f>E17*$E$8</x:f>
        <x:v>0</x:v>
      </x:c>
    </x:row>
    <x:row r="18" ht="42" customHeight="1">
      <x:c r="A18" s="2"/>
      <x:c r="B18" s="29" t="str">
        <x:v>Wilhelmine Okafor</x:v>
      </x:c>
      <x:c r="C18" s="32" t="n">
        <x:f>'Eingaben'!C11</x:f>
        <x:v>2500</x:v>
      </x:c>
      <x:c r="D18" s="45" t="n">
        <x:f>C18/$C$7*$E$7</x:f>
        <x:v>1250</x:v>
      </x:c>
      <x:c r="E18" s="18" t="n">
        <x:f>IF($C$5=1,ROUNDDOWN(D18,0),IF(AND($C$5=3,5=1),ROUNDDOWN(D18,0),0))</x:f>
        <x:v>0</x:v>
      </x:c>
      <x:c r="F18" s="45" t="n">
        <x:f>IF($C$5=1,D18-E18,IF(AND($C$5=3,5=1),D18-E18,0))</x:f>
        <x:v>0</x:v>
      </x:c>
      <x:c r="G18" s="18" t="n">
        <x:f>SUM(C18,E18)</x:f>
        <x:v>2500</x:v>
      </x:c>
      <x:c r="H18" s="34" t="n">
        <x:f>G18/($C$7+$E$7)</x:f>
        <x:v>0.041666666666666664</x:v>
      </x:c>
      <x:c r="I18" s="40" t="n">
        <x:f>E18*$E$8</x:f>
        <x:v>0</x:v>
      </x:c>
    </x:row>
    <x:row r="19" ht="42" customHeight="1">
      <x:c r="A19" s="2"/>
      <x:c r="B19" s="29" t="str">
        <x:v>Alois Rossi</x:v>
      </x:c>
      <x:c r="C19" s="32" t="n">
        <x:f>'Eingaben'!C12</x:f>
        <x:v>2000</x:v>
      </x:c>
      <x:c r="D19" s="45" t="n">
        <x:f>C19/$C$7*$E$7</x:f>
        <x:v>1000</x:v>
      </x:c>
      <x:c r="E19" s="18" t="n">
        <x:f>IF($C$5=1,ROUNDDOWN(D19,0),IF(AND($C$5=3,6=1),ROUNDDOWN(D19,0),0))</x:f>
        <x:v>0</x:v>
      </x:c>
      <x:c r="F19" s="45" t="n">
        <x:f>IF($C$5=1,D19-E19,IF(AND($C$5=3,6=1),D19-E19,0))</x:f>
        <x:v>0</x:v>
      </x:c>
      <x:c r="G19" s="18" t="n">
        <x:f>SUM(C19,E19)</x:f>
        <x:v>2000</x:v>
      </x:c>
      <x:c r="H19" s="34" t="n">
        <x:f>G19/($C$7+$E$7)</x:f>
        <x:v>0.03333333333333333</x:v>
      </x:c>
      <x:c r="I19" s="40" t="n">
        <x:f>E19*$E$8</x:f>
        <x:v>0</x:v>
      </x:c>
    </x:row>
    <x:row r="20" ht="42" customHeight="1">
      <x:c r="A20" s="2"/>
      <x:c r="B20" s="29" t="str">
        <x:v>Thekla Ben-Ami</x:v>
      </x:c>
      <x:c r="C20" s="32" t="n">
        <x:f>'Eingaben'!C13</x:f>
        <x:v>1500</x:v>
      </x:c>
      <x:c r="D20" s="45" t="n">
        <x:f>C20/$C$7*$E$7</x:f>
        <x:v>750</x:v>
      </x:c>
      <x:c r="E20" s="18" t="n">
        <x:f>IF($C$5=1,ROUNDDOWN(D20,0),IF(AND($C$5=3,7=1),ROUNDDOWN(D20,0),0))</x:f>
        <x:v>0</x:v>
      </x:c>
      <x:c r="F20" s="45" t="n">
        <x:f>IF($C$5=1,D20-E20,IF(AND($C$5=3,7=1),D20-E20,0))</x:f>
        <x:v>0</x:v>
      </x:c>
      <x:c r="G20" s="18" t="n">
        <x:f>SUM(C20,E20)</x:f>
        <x:v>1500</x:v>
      </x:c>
      <x:c r="H20" s="34" t="n">
        <x:f>G20/($C$7+$E$7)</x:f>
        <x:v>0.025</x:v>
      </x:c>
      <x:c r="I20" s="40" t="n">
        <x:f>E20*$E$8</x:f>
        <x:v>0</x:v>
      </x:c>
    </x:row>
    <x:row r="21" ht="42" customHeight="1">
      <x:c r="A21" s="2"/>
      <x:c r="B21" s="29" t="str">
        <x:v>Wolkenwickel Ventures GmbH</x:v>
      </x:c>
      <x:c r="C21" s="18" t="n">
        <x:f>$C$9</x:f>
        <x:v>5000</x:v>
      </x:c>
      <x:c r="D21" s="45" t="n">
        <x:f>C21/$C$7*$E$7</x:f>
        <x:v>2500</x:v>
      </x:c>
      <x:c r="E21" s="18" t="n">
        <x:f>IF($C$5=1,ROUNDDOWN(D21,0),IF(AND($C$5=3,8=1),ROUNDDOWN(D21,0),0))</x:f>
        <x:v>0</x:v>
      </x:c>
      <x:c r="F21" s="45" t="n">
        <x:f>IF($C$5=1,D21-E21,IF(AND($C$5=3,8=1),D21-E21,0))</x:f>
        <x:v>0</x:v>
      </x:c>
      <x:c r="G21" s="18" t="n">
        <x:f>SUM(C21,E21)</x:f>
        <x:v>5000</x:v>
      </x:c>
      <x:c r="H21" s="34" t="n">
        <x:f>G21/($C$7+$E$7)</x:f>
        <x:v>0.08333333333333333</x:v>
      </x:c>
      <x:c r="I21" s="40" t="n">
        <x:f>E21*$E$8</x:f>
        <x:v>0</x:v>
      </x:c>
    </x:row>
    <x:row r="22" ht="42" customHeight="1">
      <x:c r="A22" s="2"/>
      <x:c r="B22" s="29" t="str">
        <x:v>Spree Horizon Capital S.à r.l.</x:v>
      </x:c>
      <x:c r="C22" s="18" t="n">
        <x:f>$C$10</x:f>
        <x:v>10000</x:v>
      </x:c>
      <x:c r="D22" s="45" t="n">
        <x:f>C22/$C$7*$E$7</x:f>
        <x:v>5000</x:v>
      </x:c>
      <x:c r="E22" s="18" t="n">
        <x:f>IF($C$5=1,ROUNDDOWN(D22,0),IF(AND($C$5=3,9=1),ROUNDDOWN(D22,0),0))</x:f>
        <x:v>0</x:v>
      </x:c>
      <x:c r="F22" s="45" t="n">
        <x:f>IF($C$5=1,D22-E22,IF(AND($C$5=3,9=1),D22-E22,0))</x:f>
        <x:v>0</x:v>
      </x:c>
      <x:c r="G22" s="18" t="n">
        <x:f>SUM(C22,E22)</x:f>
        <x:v>10000</x:v>
      </x:c>
      <x:c r="H22" s="34" t="n">
        <x:f>G22/($C$7+$E$7)</x:f>
        <x:v>0.16666666666666666</x:v>
      </x:c>
      <x:c r="I22" s="40" t="n">
        <x:f>E22*$E$8</x:f>
        <x:v>0</x:v>
      </x:c>
    </x:row>
    <x:row r="23" ht="42" customHeight="1">
      <x:c r="A23" s="2"/>
      <x:c r="B23" s="29" t="str">
        <x:v>Scherenwolke Growth Fund GmbH &amp; Co. KG</x:v>
      </x:c>
      <x:c r="C23" s="44" t="n">
        <x:v>0</x:v>
      </x:c>
      <x:c r="D23" s="46" t="n">
        <x:v>0</x:v>
      </x:c>
      <x:c r="E23" s="18" t="n">
        <x:f>$E$7-SUM(E14:E22)</x:f>
        <x:v>20000</x:v>
      </x:c>
      <x:c r="F23" s="46" t="n">
        <x:v>0</x:v>
      </x:c>
      <x:c r="G23" s="18" t="n">
        <x:f>SUM(C23,E23)</x:f>
        <x:v>20000</x:v>
      </x:c>
      <x:c r="H23" s="34" t="n">
        <x:f>G23/($C$7+$E$7)</x:f>
        <x:v>0.3333333333333333</x:v>
      </x:c>
      <x:c r="I23" s="40" t="n">
        <x:f>E23*$E$8</x:f>
        <x:v>1800000</x:v>
      </x:c>
    </x:row>
    <x:row r="24" ht="25" customHeight="1">
      <x:c r="A24" s="2"/>
      <x:c r="B24" s="2"/>
      <x:c r="C24" s="44"/>
      <x:c r="D24" s="46"/>
      <x:c r="E24" s="44"/>
      <x:c r="F24" s="46"/>
      <x:c r="G24" s="44"/>
      <x:c r="H24" s="50"/>
      <x:c r="I24" s="54"/>
    </x:row>
    <x:row r="25" ht="28" customHeight="1">
      <x:c r="A25" s="2"/>
      <x:c r="B25" s="23" t="str">
        <x:v>Gesamt</x:v>
      </x:c>
      <x:c r="C25" s="24" t="n">
        <x:f>SUM(C14:C23)</x:f>
        <x:v>40000</x:v>
      </x:c>
      <x:c r="D25" s="47" t="n">
        <x:f>SUM(D14:D23)</x:f>
        <x:v>20000</x:v>
      </x:c>
      <x:c r="E25" s="24" t="n">
        <x:f>SUM(E14:E23)</x:f>
        <x:v>20000</x:v>
      </x:c>
      <x:c r="F25" s="47" t="n">
        <x:f>SUM(F14:F23)</x:f>
        <x:v>0</x:v>
      </x:c>
      <x:c r="G25" s="24" t="n">
        <x:f>SUM(G14:G23)</x:f>
        <x:v>60000</x:v>
      </x:c>
      <x:c r="H25" s="51" t="n">
        <x:f>SUM(H14:H23)</x:f>
        <x:v>1</x:v>
      </x:c>
      <x:c r="I25" s="55" t="n">
        <x:f>SUM(I14:I23)</x:f>
        <x:v>1800000</x:v>
      </x:c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36" customHeight="1">
      <x:c r="A28" s="2"/>
      <x:c r="B28" s="29" t="str">
        <x:v>1: Alle Altgesellschafter zeichnen pro rata. 2: Nur neuer Investor zeichnet. 3: Nur Ottilie zeichnet pro rata, Investor übernimmt den Rest. Keine der Varianten ist beschlossen.</x:v>
      </x:c>
      <x:c r="C28" s="29"/>
      <x:c r="D28" s="29"/>
      <x:c r="E28" s="29"/>
      <x:c r="F28" s="29"/>
      <x:c r="G28" s="29"/>
      <x:c r="H28" s="29"/>
      <x:c r="I28" s="29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6" customHeight="1">
      <x:c r="A30" s="2"/>
      <x:c r="B30" s="29" t="str">
        <x:v>Nur ganze EUR werden als Zeichnung angesetzt. Rechnerische Bruchteile sind in Spalte F offen ausgewiesen; der Investor übernimmt im Modell sämtliche nicht gezeichneten EUR.</x:v>
      </x:c>
      <x:c r="C30" s="29"/>
      <x:c r="D30" s="29"/>
      <x:c r="E30" s="29"/>
      <x:c r="F30" s="29"/>
      <x:c r="G30" s="29"/>
      <x:c r="H30" s="29"/>
      <x:c r="I30" s="29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6" customHeight="1">
      <x:c r="A32" s="2"/>
      <x:c r="B32" s="29" t="str">
        <x:v>Diese Zuteilung ist eine Finanzierungsannahme. Sie ersetzt keine Einigung über Bezugsrechte, Bezugsrechtsausschluss, Bewertung, Fristen oder Rundungszuteilung.</x:v>
      </x:c>
      <x:c r="C32" s="29"/>
      <x:c r="D32" s="29"/>
      <x:c r="E32" s="29"/>
      <x:c r="F32" s="29"/>
      <x:c r="G32" s="29"/>
      <x:c r="H32" s="29"/>
      <x:c r="I32" s="29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36" customHeight="1">
      <x:c r="A34" s="2"/>
      <x:c r="B34" s="29" t="str">
        <x:v>Der Anteilserhalt erfordert in Variante 1 zusätzliches Geld der Altgesellschafter. Ein gleichbleibender Prozentwert entsteht nicht durch eine bloße Bestandsschutzzusage.</x:v>
      </x:c>
      <x:c r="C34" s="29"/>
      <x:c r="D34" s="29"/>
      <x:c r="E34" s="29"/>
      <x:c r="F34" s="29"/>
      <x:c r="G34" s="29"/>
      <x:c r="H34" s="29"/>
      <x:c r="I34" s="29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</x:sheetData>
  <x:mergeCells>
    <x:mergeCell ref="B28:I28"/>
    <x:mergeCell ref="B30:I30"/>
    <x:mergeCell ref="B32:I32"/>
    <x:mergeCell ref="B34:I34"/>
  </x:mergeCells>
  <x:dataValidations count="1">
    <x:dataValidation type="whole" operator="between" sqref="C5">
      <x:formula1>1</x:formula1>
      <x:formula2>3</x:formula2>
    </x:dataValidation>
  </x:dataValidations>
  <x:pageMargins left="0.25" right="0.25" top="0.35" bottom="0.35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35.560001373291016" hidden="0" customWidth="1"/>
    <x:col min="3" max="3" width="15" hidden="0" customWidth="1"/>
    <x:col min="4" max="4" width="26.670000076293945" hidden="0" customWidth="1"/>
    <x:col min="5" max="5" width="26.670000076293945" hidden="0" customWidth="1"/>
    <x:col min="6" max="6" width="27.780000686645508" hidden="0" customWidth="1"/>
    <x:col min="7" max="7" width="26.670000076293945" hidden="0" customWidth="1"/>
    <x:col min="8" max="8" width="2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Rechenannahmen für Beschlüsse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"/>
      <x:c r="B6" s="11" t="str">
        <x:v>Person</x:v>
      </x:c>
      <x:c r="C6" s="12" t="str">
        <x:v>Nominal bei Gründung EUR</x:v>
      </x:c>
      <x:c r="D6" s="2"/>
      <x:c r="E6" s="2"/>
      <x:c r="F6" s="2"/>
      <x:c r="G6" s="2"/>
      <x:c r="H6" s="2"/>
    </x:row>
    <x:row r="7" ht="25" customHeight="1">
      <x:c r="A7" s="2"/>
      <x:c r="B7" s="2" t="str">
        <x:v>Ottilie Kühnle</x:v>
      </x:c>
      <x:c r="C7" s="15" t="n">
        <x:v>5250</x:v>
      </x:c>
      <x:c r="D7" s="2"/>
      <x:c r="E7" s="2"/>
      <x:c r="F7" s="2"/>
      <x:c r="G7" s="2"/>
      <x:c r="H7" s="2"/>
    </x:row>
    <x:row r="8" ht="25" customHeight="1">
      <x:c r="A8" s="2"/>
      <x:c r="B8" s="2" t="str">
        <x:v>Eberhard Demir</x:v>
      </x:c>
      <x:c r="C8" s="15" t="n">
        <x:v>5500</x:v>
      </x:c>
      <x:c r="D8" s="2"/>
      <x:c r="E8" s="2"/>
      <x:c r="F8" s="2"/>
      <x:c r="G8" s="2"/>
      <x:c r="H8" s="2"/>
    </x:row>
    <x:row r="9" ht="25" customHeight="1">
      <x:c r="A9" s="2"/>
      <x:c r="B9" s="2" t="str">
        <x:v>Kunigunde Nguyen</x:v>
      </x:c>
      <x:c r="C9" s="15" t="n">
        <x:v>4500</x:v>
      </x:c>
      <x:c r="D9" s="2"/>
      <x:c r="E9" s="2"/>
      <x:c r="F9" s="2"/>
      <x:c r="G9" s="2"/>
      <x:c r="H9" s="2"/>
    </x:row>
    <x:row r="10" ht="25" customHeight="1">
      <x:c r="A10" s="2"/>
      <x:c r="B10" s="2" t="str">
        <x:v>Nepomuk Huber</x:v>
      </x:c>
      <x:c r="C10" s="15" t="n">
        <x:v>3750</x:v>
      </x:c>
      <x:c r="D10" s="2"/>
      <x:c r="E10" s="2"/>
      <x:c r="F10" s="2"/>
      <x:c r="G10" s="2"/>
      <x:c r="H10" s="2"/>
    </x:row>
    <x:row r="11" ht="25" customHeight="1">
      <x:c r="A11" s="2"/>
      <x:c r="B11" s="2" t="str">
        <x:v>Wilhelmine Okafor</x:v>
      </x:c>
      <x:c r="C11" s="15" t="n">
        <x:v>2500</x:v>
      </x:c>
      <x:c r="D11" s="2"/>
      <x:c r="E11" s="2"/>
      <x:c r="F11" s="2"/>
      <x:c r="G11" s="2"/>
      <x:c r="H11" s="2"/>
    </x:row>
    <x:row r="12" ht="25" customHeight="1">
      <x:c r="A12" s="2"/>
      <x:c r="B12" s="2" t="str">
        <x:v>Alois Rossi</x:v>
      </x:c>
      <x:c r="C12" s="15" t="n">
        <x:v>2000</x:v>
      </x:c>
      <x:c r="D12" s="2"/>
      <x:c r="E12" s="2"/>
      <x:c r="F12" s="2"/>
      <x:c r="G12" s="2"/>
      <x:c r="H12" s="2"/>
    </x:row>
    <x:row r="13" ht="25" customHeight="1">
      <x:c r="A13" s="2"/>
      <x:c r="B13" s="2" t="str">
        <x:v>Thekla Ben-Ami</x:v>
      </x:c>
      <x:c r="C13" s="15" t="n">
        <x:v>1500</x:v>
      </x:c>
      <x:c r="D13" s="2"/>
      <x:c r="E13" s="2"/>
      <x:c r="F13" s="2"/>
      <x:c r="G13" s="2"/>
      <x:c r="H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8" customHeight="1">
      <x:c r="A15" s="2"/>
      <x:c r="B15" s="23" t="str">
        <x:v>Summe Stammkapital</x:v>
      </x:c>
      <x:c r="C15" s="24" t="n">
        <x:f>SUM(C7:C13)</x:f>
        <x:v>25000</x:v>
      </x:c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25" customHeight="1">
      <x:c r="A18" s="2"/>
      <x:c r="B18" s="2" t="str">
        <x:v>Qualifizierte Quote</x:v>
      </x:c>
      <x:c r="C18" s="25" t="n">
        <x:v>0.75</x:v>
      </x:c>
      <x:c r="D18" s="2"/>
      <x:c r="E18" s="2"/>
      <x:c r="F18" s="2"/>
      <x:c r="G18" s="2"/>
      <x:c r="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</x:row>
    <x:row r="21" ht="40" customHeight="1">
      <x:c r="A21" s="2"/>
      <x:c r="B21" s="11" t="str">
        <x:v>Person</x:v>
      </x:c>
      <x:c r="C21" s="28" t="str">
        <x:v>Fall 1</x:v>
      </x:c>
      <x:c r="D21" s="28" t="str">
        <x:v>Fall 2</x:v>
      </x:c>
      <x:c r="E21" s="28" t="str">
        <x:v>Fall 3</x:v>
      </x:c>
      <x:c r="F21" s="28" t="str">
        <x:v>Fall 4</x:v>
      </x:c>
      <x:c r="G21" s="12" t="str">
        <x:v>Fall 5</x:v>
      </x:c>
      <x:c r="H21" s="2"/>
    </x:row>
    <x:row r="22" ht="25" customHeight="1">
      <x:c r="A22" s="2"/>
      <x:c r="B22" s="2" t="str">
        <x:v>Ottilie Kühnle</x:v>
      </x:c>
      <x:c r="C22" s="14" t="str">
        <x:v>Nein</x:v>
      </x:c>
      <x:c r="D22" s="14" t="str">
        <x:v>Nein</x:v>
      </x:c>
      <x:c r="E22" s="14" t="str">
        <x:v>Nein</x:v>
      </x:c>
      <x:c r="F22" s="14" t="str">
        <x:v>Nein</x:v>
      </x:c>
      <x:c r="G22" s="14" t="str">
        <x:v>Enthaltung</x:v>
      </x:c>
      <x:c r="H22" s="2"/>
    </x:row>
    <x:row r="23" ht="25" customHeight="1">
      <x:c r="A23" s="2"/>
      <x:c r="B23" s="2" t="str">
        <x:v>Eberhard Demir</x:v>
      </x:c>
      <x:c r="C23" s="14" t="str">
        <x:v>Ja</x:v>
      </x:c>
      <x:c r="D23" s="14" t="str">
        <x:v>Abwesend</x:v>
      </x:c>
      <x:c r="E23" s="14" t="str">
        <x:v>Enthaltung</x:v>
      </x:c>
      <x:c r="F23" s="14" t="str">
        <x:v>Ja</x:v>
      </x:c>
      <x:c r="G23" s="14" t="str">
        <x:v>Abwesend</x:v>
      </x:c>
      <x:c r="H23" s="2"/>
    </x:row>
    <x:row r="24" ht="25" customHeight="1">
      <x:c r="A24" s="2"/>
      <x:c r="B24" s="2" t="str">
        <x:v>Kunigunde Nguyen</x:v>
      </x:c>
      <x:c r="C24" s="14" t="str">
        <x:v>Ja</x:v>
      </x:c>
      <x:c r="D24" s="14" t="str">
        <x:v>Ja</x:v>
      </x:c>
      <x:c r="E24" s="14" t="str">
        <x:v>Ja</x:v>
      </x:c>
      <x:c r="F24" s="14" t="str">
        <x:v>Ja</x:v>
      </x:c>
      <x:c r="G24" s="14" t="str">
        <x:v>Abwesend</x:v>
      </x:c>
      <x:c r="H24" s="2"/>
    </x:row>
    <x:row r="25" ht="25" customHeight="1">
      <x:c r="A25" s="2"/>
      <x:c r="B25" s="2" t="str">
        <x:v>Nepomuk Huber</x:v>
      </x:c>
      <x:c r="C25" s="14" t="str">
        <x:v>Ja</x:v>
      </x:c>
      <x:c r="D25" s="14" t="str">
        <x:v>Ja</x:v>
      </x:c>
      <x:c r="E25" s="14" t="str">
        <x:v>Ja</x:v>
      </x:c>
      <x:c r="F25" s="14" t="str">
        <x:v>Ja</x:v>
      </x:c>
      <x:c r="G25" s="14" t="str">
        <x:v>Abwesend</x:v>
      </x:c>
      <x:c r="H25" s="2"/>
    </x:row>
    <x:row r="26" ht="25" customHeight="1">
      <x:c r="A26" s="2"/>
      <x:c r="B26" s="2" t="str">
        <x:v>Wilhelmine Okafor</x:v>
      </x:c>
      <x:c r="C26" s="14" t="str">
        <x:v>Ja</x:v>
      </x:c>
      <x:c r="D26" s="14" t="str">
        <x:v>Ja</x:v>
      </x:c>
      <x:c r="E26" s="14" t="str">
        <x:v>Ja</x:v>
      </x:c>
      <x:c r="F26" s="14" t="str">
        <x:v>Ja</x:v>
      </x:c>
      <x:c r="G26" s="14" t="str">
        <x:v>Abwesend</x:v>
      </x:c>
      <x:c r="H26" s="2"/>
    </x:row>
    <x:row r="27" ht="25" customHeight="1">
      <x:c r="A27" s="2"/>
      <x:c r="B27" s="2" t="str">
        <x:v>Alois Rossi</x:v>
      </x:c>
      <x:c r="C27" s="14" t="str">
        <x:v>Ja</x:v>
      </x:c>
      <x:c r="D27" s="14" t="str">
        <x:v>Ja</x:v>
      </x:c>
      <x:c r="E27" s="14" t="str">
        <x:v>Ja</x:v>
      </x:c>
      <x:c r="F27" s="14" t="str">
        <x:v>Abwesend</x:v>
      </x:c>
      <x:c r="G27" s="14" t="str">
        <x:v>Abwesend</x:v>
      </x:c>
      <x:c r="H27" s="2"/>
    </x:row>
    <x:row r="28" ht="25" customHeight="1">
      <x:c r="A28" s="2"/>
      <x:c r="B28" s="2" t="str">
        <x:v>Thekla Ben-Ami</x:v>
      </x:c>
      <x:c r="C28" s="14" t="str">
        <x:v>Ja</x:v>
      </x:c>
      <x:c r="D28" s="14" t="str">
        <x:v>Ja</x:v>
      </x:c>
      <x:c r="E28" s="14" t="str">
        <x:v>Ja</x:v>
      </x:c>
      <x:c r="F28" s="14" t="str">
        <x:v>Ja</x:v>
      </x:c>
      <x:c r="G28" s="14" t="str">
        <x:v>Abwesend</x:v>
      </x:c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44" customHeight="1">
      <x:c r="A31" s="2"/>
      <x:c r="B31" s="29" t="str">
        <x:v>1: Alle stimmen, Ottilie dagegen. 2: Eberhard abwesend. 3: Eberhard enthält sich. 4: Alois abwesend, Ottilie dagegen. 5: Keine gültige Stimme.</x:v>
      </x:c>
      <x:c r="C31" s="29"/>
      <x:c r="D31" s="29"/>
      <x:c r="E31" s="29"/>
      <x:c r="F31" s="29"/>
      <x:c r="G31" s="29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44" customHeight="1">
      <x:c r="A34" s="2"/>
      <x:c r="B34" s="29" t="str">
        <x:v>Der Gründerkreis hat sich noch nicht auf die Beschlussordnung geeinigt. Stimmverbote, Vollmachten und Beschlussfähigkeit sind nicht in Zahlen übersetzt.</x:v>
      </x:c>
      <x:c r="C34" s="29"/>
      <x:c r="D34" s="29"/>
      <x:c r="E34" s="29"/>
      <x:c r="F34" s="29"/>
      <x:c r="G34" s="29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36" customHeight="1">
      <x:c r="A37" s="2"/>
      <x:c r="B37" s="29" t="str">
        <x:v>Stand: Ottilies Liste vom 28.09.2026. Das Budgetveto über 50.000 EUR steht bisher nur im Entwurf der Gesellschaftervereinbarung.</x:v>
      </x:c>
      <x:c r="C37" s="29"/>
      <x:c r="D37" s="29"/>
      <x:c r="E37" s="29"/>
      <x:c r="F37" s="29"/>
      <x:c r="G37" s="29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B31:G31"/>
    <x:mergeCell ref="B34:G34"/>
    <x:mergeCell ref="B37:G37"/>
  </x:mergeCells>
  <x:dataValidations count="1">
    <x:dataValidation type="list" sqref="C22:G28">
      <x:formula1>"Ja,Nein,Enthaltung,Abwesend"</x:formula1>
    </x:dataValidation>
  </x:dataValidations>
  <x:pageMargins left="0.25" right="0.25" top="0.35" bottom="0.35" header="0.15" footer="0.15"/>
  <x:pageSetup paperSize="9" orientation="landscape" fitToWidth="1" fitToHeight="0"/>
</x:worksheet>
</file>