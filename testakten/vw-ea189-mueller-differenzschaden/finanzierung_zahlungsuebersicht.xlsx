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ahlungsuebersicht" sheetId="1" state="visible" r:id="rId1"/>
  </sheets>
  <definedNames>
    <definedName name="_xlnm._FilterDatabase" localSheetId="0" hidden="1">'Zahlungsuebersicht'!$A$4:$D$8</definedName>
  </definedNames>
  <calcPr calcId="124519" calcMode="auto" fullCalcOnLoad="1" forceFullCalc="1"/>
</workbook>
</file>

<file path=xl/styles.xml><?xml version="1.0" encoding="utf-8"?>
<styleSheet xmlns="http://schemas.openxmlformats.org/spreadsheetml/2006/main">
  <numFmts count="3">
    <numFmt numFmtId="164" formatCode="yyyy-mm-dd"/>
    <numFmt numFmtId="165" formatCode="DD.MM.YYYY"/>
    <numFmt numFmtId="166" formatCode="#,##0.00 [$€-407]"/>
  </numFmts>
  <fonts count="3">
    <font>
      <name val="Calibri"/>
      <family val="2"/>
      <color theme="1"/>
      <sz val="11"/>
      <scheme val="minor"/>
    </font>
    <font>
      <b val="1"/>
      <color rgb="001F2937"/>
    </font>
    <font>
      <b val="1"/>
      <color rgb="001F2937"/>
      <sz val="14"/>
    </font>
  </fonts>
  <fills count="4">
    <fill>
      <patternFill/>
    </fill>
    <fill>
      <patternFill patternType="gray125"/>
    </fill>
    <fill>
      <patternFill patternType="solid">
        <fgColor rgb="00EAF0F6"/>
      </patternFill>
    </fill>
    <fill>
      <patternFill patternType="solid">
        <fgColor rgb="00DCE6F1"/>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1" applyAlignment="1" pivotButton="0" quotePrefix="0" xfId="0">
      <alignment vertical="top" wrapText="1"/>
    </xf>
    <xf numFmtId="0" fontId="0" fillId="0" borderId="1"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D25"/>
  <sheetViews>
    <sheetView showGridLines="0" workbookViewId="0">
      <pane ySplit="4" topLeftCell="A5" activePane="bottomLeft" state="frozen"/>
      <selection pane="bottomLeft" activeCell="A1" sqref="A1"/>
    </sheetView>
  </sheetViews>
  <sheetFormatPr baseColWidth="8" defaultRowHeight="14"/>
  <cols>
    <col width="26" customWidth="1" min="1" max="1"/>
    <col width="26" customWidth="1" min="2" max="2"/>
    <col width="19" customWidth="1" min="3" max="3"/>
    <col width="26" customWidth="1" min="4" max="4"/>
  </cols>
  <sheetData>
    <row r="1" ht="24" customHeight="1">
      <c r="A1" s="1" t="inlineStr">
        <is>
          <t>Zahlungs- und Nutzungsrechnung</t>
        </is>
      </c>
    </row>
    <row r="2" ht="44" customHeight="1">
      <c r="A2" s="2" t="inlineStr">
        <is>
          <t>Mandat: M-2026-01142
Rechenstand: 06.07.2026
Zweck: materielle Kontrollrechnung, keine Forderungsaufstellung</t>
        </is>
      </c>
    </row>
    <row r="3">
      <c r="A3" s="3" t="inlineStr">
        <is>
          <t>Belegte Zahlungen</t>
        </is>
      </c>
    </row>
    <row r="4" ht="16" customHeight="1">
      <c r="A4" s="4" t="inlineStr">
        <is>
          <t>Vorgang</t>
        </is>
      </c>
      <c r="B4" s="4" t="inlineStr">
        <is>
          <t>Datum</t>
        </is>
      </c>
      <c r="C4" s="4" t="inlineStr">
        <is>
          <t>Betrag</t>
        </is>
      </c>
      <c r="D4" s="4" t="inlineStr">
        <is>
          <t>Beleg</t>
        </is>
      </c>
    </row>
    <row r="5" ht="44" customHeight="1">
      <c r="A5" s="5" t="inlineStr">
        <is>
          <t>Kaufpreiszahlung an Autohaus Nordost Berlin GmbH</t>
        </is>
      </c>
      <c r="B5" s="6" t="n">
        <v>41712</v>
      </c>
      <c r="C5" s="7" t="n">
        <v>27900</v>
      </c>
      <c r="D5" s="5" t="inlineStr">
        <is>
          <t>Fahrzeugrechnung R-2014-03142</t>
        </is>
      </c>
    </row>
    <row r="6" ht="30" customHeight="1">
      <c r="A6" s="5" t="inlineStr">
        <is>
          <t>Finanzierungskosten</t>
        </is>
      </c>
      <c r="B6" s="5" t="inlineStr">
        <is>
          <t>—</t>
        </is>
      </c>
      <c r="C6" s="7" t="n">
        <v>0</v>
      </c>
      <c r="D6" s="5" t="inlineStr">
        <is>
          <t>keine Finanzierung vereinbart</t>
        </is>
      </c>
    </row>
    <row r="7" ht="30" customHeight="1">
      <c r="A7" s="5" t="inlineStr">
        <is>
          <t>Inzahlungnahme</t>
        </is>
      </c>
      <c r="B7" s="5" t="inlineStr">
        <is>
          <t>—</t>
        </is>
      </c>
      <c r="C7" s="7" t="n">
        <v>0</v>
      </c>
      <c r="D7" s="5" t="inlineStr">
        <is>
          <t>keine Inzahlungnahme vereinbart</t>
        </is>
      </c>
    </row>
    <row r="8" ht="16" customHeight="1">
      <c r="A8" s="5" t="inlineStr">
        <is>
          <t>Kosten der Maßnahme 23R7</t>
        </is>
      </c>
      <c r="B8" s="6" t="n">
        <v>43061</v>
      </c>
      <c r="C8" s="7" t="n">
        <v>0</v>
      </c>
      <c r="D8" s="5" t="inlineStr">
        <is>
          <t>Servicebeleg S-2017-11826</t>
        </is>
      </c>
    </row>
    <row r="9"/>
    <row r="10">
      <c r="A10" s="3" t="inlineStr">
        <is>
          <t>Nutzungsvorteil</t>
        </is>
      </c>
    </row>
    <row r="11" ht="44" customHeight="1">
      <c r="A11" s="2" t="inlineStr">
        <is>
          <t>Der Tachostand am 03.07.2026 beträgt 142.186 km. Davon sind die 12 km bei Übergabe abzuziehen. Die tatsächliche Nutzungsstrecke beträgt deshalb 142.174 km. Bei einer erwarteten Gesamtlaufleistung von 250.000 km verbleiben ab Übergabe rechnerisch 249.988 km.</t>
        </is>
      </c>
    </row>
    <row r="12" ht="16" customHeight="1">
      <c r="A12" s="4" t="inlineStr">
        <is>
          <t>Rechenschritt</t>
        </is>
      </c>
      <c r="B12" s="4" t="inlineStr">
        <is>
          <t>Rechnung</t>
        </is>
      </c>
      <c r="C12" s="4" t="inlineStr">
        <is>
          <t>Ergebnis</t>
        </is>
      </c>
    </row>
    <row r="13" ht="30" customHeight="1">
      <c r="A13" s="5" t="inlineStr">
        <is>
          <t>Nutzungsvorteil</t>
        </is>
      </c>
      <c r="B13" s="5" t="inlineStr">
        <is>
          <t>27.900,00 EUR × 142.174 km ÷ 249.988 km</t>
        </is>
      </c>
      <c r="C13" s="7">
        <f>C5*142174/249988</f>
        <v/>
      </c>
    </row>
    <row r="14" ht="30" customHeight="1">
      <c r="A14" s="5" t="inlineStr">
        <is>
          <t>Kaufpreis abzüglich Nutzungsvorteil</t>
        </is>
      </c>
      <c r="B14" s="5" t="inlineStr">
        <is>
          <t>27.900,00 EUR − 15.867,38 EUR</t>
        </is>
      </c>
      <c r="C14" s="7">
        <f>C5-C13</f>
        <v/>
      </c>
    </row>
    <row r="15"/>
    <row r="16" ht="72" customHeight="1">
      <c r="A16" s="2" t="inlineStr">
        <is>
          <t>Ein Restwert wird bei fortbestehendem Besitz in dieser Zug-um-Zug-Kontrollrechnung nicht zusätzlich abgezogen. Der Saldo von 12.032,62 EUR bildet damit den rechnerischen Ausgangspunkt des klassischen großen Schadensersatzes nach Nutzungsanrechnung, ist wegen der durchgreifenden Verjährung aber nicht als Anspruch freigegeben. Für die gesonderte Differenzschadensspur fehlt weiterhin ein belastbarer Fahrzeugwert zur Vorteilsausgleichs- und Überkompensationskontrolle.</t>
        </is>
      </c>
    </row>
    <row r="17">
      <c r="A17" s="3" t="inlineStr">
        <is>
          <t>Differenzschaden-Korridor</t>
        </is>
      </c>
    </row>
    <row r="18" ht="16" customHeight="1">
      <c r="A18" s="4" t="inlineStr">
        <is>
          <t>Quote</t>
        </is>
      </c>
      <c r="B18" s="4" t="inlineStr">
        <is>
          <t>Rechnung</t>
        </is>
      </c>
      <c r="C18" s="4" t="inlineStr">
        <is>
          <t>Kontrollbetrag</t>
        </is>
      </c>
    </row>
    <row r="19" ht="16" customHeight="1">
      <c r="A19" s="5" t="inlineStr">
        <is>
          <t>5 Prozent</t>
        </is>
      </c>
      <c r="B19" s="5" t="inlineStr">
        <is>
          <t>27.900,00 EUR × 0,05</t>
        </is>
      </c>
      <c r="C19" s="7">
        <f>C5*0.05</f>
        <v/>
      </c>
    </row>
    <row r="20" ht="16" customHeight="1">
      <c r="A20" s="5" t="inlineStr">
        <is>
          <t>10 Prozent</t>
        </is>
      </c>
      <c r="B20" s="5" t="inlineStr">
        <is>
          <t>27.900,00 EUR × 0,10</t>
        </is>
      </c>
      <c r="C20" s="7">
        <f>C5*0.10</f>
        <v/>
      </c>
    </row>
    <row r="21" ht="16" customHeight="1">
      <c r="A21" s="5" t="inlineStr">
        <is>
          <t>15 Prozent</t>
        </is>
      </c>
      <c r="B21" s="5" t="inlineStr">
        <is>
          <t>27.900,00 EUR × 0,15</t>
        </is>
      </c>
      <c r="C21" s="7">
        <f>C5*0.15</f>
        <v/>
      </c>
    </row>
    <row r="22"/>
    <row r="23" ht="30" customHeight="1">
      <c r="A23" s="2" t="inlineStr">
        <is>
          <t>Der Korridor bildet lediglich die in der materiellen Prüfung denkbare Größenordnung ab. Verjährung, Vorteilsausgleich und das Verbot einer Überkompensation sind davon getrennt zu prüfen.</t>
        </is>
      </c>
    </row>
    <row r="24">
      <c r="A24" s="3" t="inlineStr">
        <is>
          <t>Umsatzsteuerkontrolle</t>
        </is>
      </c>
    </row>
    <row r="25" ht="30" customHeight="1">
      <c r="A25" s="2" t="inlineStr">
        <is>
          <t>Der Rechnungsbetrag ist rechnerisch stimmig: 23.445,38 EUR netto zuzüglich 4.454,62 EUR Umsatzsteuer ergeben 27.900,00 EUR brutto.</t>
        </is>
      </c>
    </row>
  </sheetData>
  <autoFilter ref="A4:D8"/>
  <mergeCells count="10">
    <mergeCell ref="A1:D1"/>
    <mergeCell ref="A17:D17"/>
    <mergeCell ref="A23:D23"/>
    <mergeCell ref="A3:D3"/>
    <mergeCell ref="A25:D25"/>
    <mergeCell ref="A24:D24"/>
    <mergeCell ref="A2:D2"/>
    <mergeCell ref="A11:D11"/>
    <mergeCell ref="A16:D16"/>
    <mergeCell ref="A10:D10"/>
  </mergeCells>
  <printOptions horizontalCentered="1"/>
  <pageMargins left="0.25" right="0.25" top="0.4" bottom="0.4" header="0.15" footer="0.15"/>
  <pageSetup orientation="portrait" paperSize="9" scale="85" fitToHeight="0" fitToWidth="0"/>
  <headerFooter>
    <oddHeader/>
    <oddFooter>&amp;CSeite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Kanzleisoftware-Export Diesel-Schadensersatz</dc:creator>
  <dcterms:created xsi:type="dcterms:W3CDTF">2000-01-01T00:00:00Z</dcterms:created>
  <dcterms:modified xsi:type="dcterms:W3CDTF">2000-01-01T00:00:00Z</dcterms:modified>
</cp:coreProperties>
</file>