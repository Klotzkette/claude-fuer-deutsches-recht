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ten" sheetId="1" state="visible" r:id="rId3"/>
    <sheet name="Betriebskonto" sheetId="2" state="visible" r:id="rId4"/>
    <sheet name="Ruecklag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<sst xmlns="http://schemas.openxmlformats.org/spreadsheetml/2006/main" count="56" uniqueCount="50">
  <si>
    <t xml:space="preserve">Kostenart</t>
  </si>
  <si>
    <t xml:space="preserve">Bezahlt EUR</t>
  </si>
  <si>
    <t xml:space="preserve">Belegnummer</t>
  </si>
  <si>
    <t xml:space="preserve">Unterlage</t>
  </si>
  <si>
    <t xml:space="preserve">Wasser und Abwasser</t>
  </si>
  <si>
    <t xml:space="preserve">W-25-818</t>
  </si>
  <si>
    <t xml:space="preserve">07_Wasserrechnung.docx</t>
  </si>
  <si>
    <t xml:space="preserve">Müllentsorgung</t>
  </si>
  <si>
    <t xml:space="preserve">M-25-180</t>
  </si>
  <si>
    <t xml:space="preserve">08_Muellrechnung.docx</t>
  </si>
  <si>
    <t xml:space="preserve">Gebäudeversicherung</t>
  </si>
  <si>
    <t xml:space="preserve">GV-25-188</t>
  </si>
  <si>
    <t xml:space="preserve">09_Gebaeudeversicherung.docx</t>
  </si>
  <si>
    <t xml:space="preserve">Allgemeinstrom</t>
  </si>
  <si>
    <t xml:space="preserve">ST-25-991</t>
  </si>
  <si>
    <t xml:space="preserve">10_Stromrechnung.docx</t>
  </si>
  <si>
    <t xml:space="preserve">Treppenreinigung</t>
  </si>
  <si>
    <t xml:space="preserve">R-25-144</t>
  </si>
  <si>
    <t xml:space="preserve">11_Reinigung.docx</t>
  </si>
  <si>
    <t xml:space="preserve">Hausmeister</t>
  </si>
  <si>
    <t xml:space="preserve">HM-25-218</t>
  </si>
  <si>
    <t xml:space="preserve">12_Hausmeisterrechnung.docx</t>
  </si>
  <si>
    <t xml:space="preserve">Dachreparatur</t>
  </si>
  <si>
    <t xml:space="preserve">D-25-512</t>
  </si>
  <si>
    <t xml:space="preserve">14_Dachreparatur.docx</t>
  </si>
  <si>
    <t xml:space="preserve">Verwaltung</t>
  </si>
  <si>
    <t xml:space="preserve">V-25-118</t>
  </si>
  <si>
    <t xml:space="preserve">15_Verwalterhonorar.docx</t>
  </si>
  <si>
    <t xml:space="preserve">Kontoführung</t>
  </si>
  <si>
    <t xml:space="preserve">BK-25-118</t>
  </si>
  <si>
    <t xml:space="preserve">16_Bankentgelte.docx</t>
  </si>
  <si>
    <t xml:space="preserve">Summe</t>
  </si>
  <si>
    <t xml:space="preserve">Datum</t>
  </si>
  <si>
    <t xml:space="preserve">Buchung</t>
  </si>
  <si>
    <t xml:space="preserve">Eingang EUR</t>
  </si>
  <si>
    <t xml:space="preserve">Ausgang EUR</t>
  </si>
  <si>
    <t xml:space="preserve">Saldo EUR</t>
  </si>
  <si>
    <t xml:space="preserve">Quelle</t>
  </si>
  <si>
    <t xml:space="preserve">Anfangsbestand Betrieb</t>
  </si>
  <si>
    <t xml:space="preserve">Kontoauszug Anfang</t>
  </si>
  <si>
    <t xml:space="preserve">Hausgeldzahlungen Januar bis November</t>
  </si>
  <si>
    <t xml:space="preserve">Zahlungsjournal 2025</t>
  </si>
  <si>
    <t xml:space="preserve">Hausgeldzahlungen Dezember</t>
  </si>
  <si>
    <t xml:space="preserve">Ausgaben laut Kostenblatt</t>
  </si>
  <si>
    <t xml:space="preserve">Belege 07 bis 16</t>
  </si>
  <si>
    <t xml:space="preserve">Übertrag Rücklage</t>
  </si>
  <si>
    <t xml:space="preserve">Kontoauszug Rücklage</t>
  </si>
  <si>
    <t xml:space="preserve">Anfangsbestand</t>
  </si>
  <si>
    <t xml:space="preserve">Übertrag aus Betrieb</t>
  </si>
  <si>
    <t xml:space="preserve">Zinsgutschrift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</si>
</sst>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"/>
    <col collapsed="false" customWidth="true" hidden="false" outlineLevel="0" max="3" min="2" style="1" width="18"/>
    <col collapsed="false" customWidth="true" hidden="false" outlineLevel="0" max="4" min="4" style="1" width="48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4" hidden="false" customHeight="true" outlineLevel="0" collapsed="false">
      <c r="A2" s="3" t="s">
        <v>4</v>
      </c>
      <c r="B2" s="4" t="n">
        <v>3840</v>
      </c>
      <c r="C2" s="3" t="s">
        <v>5</v>
      </c>
      <c r="D2" s="3" t="s">
        <v>6</v>
      </c>
    </row>
    <row r="3" customFormat="false" ht="24" hidden="false" customHeight="true" outlineLevel="0" collapsed="false">
      <c r="A3" s="3" t="s">
        <v>7</v>
      </c>
      <c r="B3" s="4" t="n">
        <v>2880</v>
      </c>
      <c r="C3" s="3" t="s">
        <v>8</v>
      </c>
      <c r="D3" s="3" t="s">
        <v>9</v>
      </c>
    </row>
    <row r="4" customFormat="false" ht="24" hidden="false" customHeight="true" outlineLevel="0" collapsed="false">
      <c r="A4" s="3" t="s">
        <v>10</v>
      </c>
      <c r="B4" s="4" t="n">
        <v>2160</v>
      </c>
      <c r="C4" s="3" t="s">
        <v>11</v>
      </c>
      <c r="D4" s="3" t="s">
        <v>12</v>
      </c>
    </row>
    <row r="5" customFormat="false" ht="24" hidden="false" customHeight="true" outlineLevel="0" collapsed="false">
      <c r="A5" s="3" t="s">
        <v>13</v>
      </c>
      <c r="B5" s="4" t="n">
        <v>720</v>
      </c>
      <c r="C5" s="3" t="s">
        <v>14</v>
      </c>
      <c r="D5" s="3" t="s">
        <v>15</v>
      </c>
    </row>
    <row r="6" customFormat="false" ht="24" hidden="false" customHeight="true" outlineLevel="0" collapsed="false">
      <c r="A6" s="3" t="s">
        <v>16</v>
      </c>
      <c r="B6" s="4" t="n">
        <v>3600</v>
      </c>
      <c r="C6" s="3" t="s">
        <v>17</v>
      </c>
      <c r="D6" s="3" t="s">
        <v>18</v>
      </c>
    </row>
    <row r="7" customFormat="false" ht="24" hidden="false" customHeight="true" outlineLevel="0" collapsed="false">
      <c r="A7" s="3" t="s">
        <v>19</v>
      </c>
      <c r="B7" s="4" t="n">
        <v>4800</v>
      </c>
      <c r="C7" s="3" t="s">
        <v>20</v>
      </c>
      <c r="D7" s="3" t="s">
        <v>21</v>
      </c>
    </row>
    <row r="8" customFormat="false" ht="24" hidden="false" customHeight="true" outlineLevel="0" collapsed="false">
      <c r="A8" s="3" t="s">
        <v>22</v>
      </c>
      <c r="B8" s="4" t="n">
        <v>2400</v>
      </c>
      <c r="C8" s="3" t="s">
        <v>23</v>
      </c>
      <c r="D8" s="3" t="s">
        <v>24</v>
      </c>
    </row>
    <row r="9" customFormat="false" ht="24" hidden="false" customHeight="true" outlineLevel="0" collapsed="false">
      <c r="A9" s="3" t="s">
        <v>25</v>
      </c>
      <c r="B9" s="4" t="n">
        <v>3840</v>
      </c>
      <c r="C9" s="3" t="s">
        <v>26</v>
      </c>
      <c r="D9" s="3" t="s">
        <v>27</v>
      </c>
    </row>
    <row r="10" customFormat="false" ht="24" hidden="false" customHeight="true" outlineLevel="0" collapsed="false">
      <c r="A10" s="3" t="s">
        <v>28</v>
      </c>
      <c r="B10" s="4" t="n">
        <v>120</v>
      </c>
      <c r="C10" s="3" t="s">
        <v>29</v>
      </c>
      <c r="D10" s="3" t="s">
        <v>30</v>
      </c>
    </row>
    <row r="11" customFormat="false" ht="24" hidden="false" customHeight="true" outlineLevel="0" collapsed="false">
      <c r="A11" s="3" t="s">
        <v>31</v>
      </c>
      <c r="B11" s="4" t="n">
        <f aca="false">SUM(B2:B10)</f>
        <v>24360</v>
      </c>
      <c r="C11" s="3"/>
      <c r="D11" s="3"/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31.21"/>
    <col collapsed="false" customWidth="true" hidden="false" outlineLevel="0" max="4" min="3" style="1" width="16.31"/>
    <col collapsed="false" customWidth="true" hidden="false" outlineLevel="0" max="5" min="5" style="1" width="17.15"/>
    <col collapsed="false" customWidth="true" hidden="false" outlineLevel="0" max="6" min="6" style="1" width="28.72"/>
  </cols>
  <sheetData>
    <row r="1" customFormat="false" ht="36" hidden="false" customHeight="tru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customFormat="false" ht="24" hidden="false" customHeight="true" outlineLevel="0" collapsed="false">
      <c r="A2" s="5" t="n">
        <v>45658</v>
      </c>
      <c r="B2" s="3" t="s">
        <v>38</v>
      </c>
      <c r="C2" s="4" t="n">
        <v>3000</v>
      </c>
      <c r="D2" s="4" t="n">
        <v>0</v>
      </c>
      <c r="E2" s="4" t="n">
        <f aca="false">C2-D2</f>
        <v>3000</v>
      </c>
      <c r="F2" s="3" t="s">
        <v>39</v>
      </c>
    </row>
    <row r="3" customFormat="false" ht="38" hidden="false" customHeight="true" outlineLevel="0" collapsed="false">
      <c r="A3" s="5" t="n">
        <v>46022</v>
      </c>
      <c r="B3" s="3" t="s">
        <v>40</v>
      </c>
      <c r="C3" s="4" t="n">
        <v>29333.37</v>
      </c>
      <c r="D3" s="4" t="n">
        <v>0</v>
      </c>
      <c r="E3" s="4" t="n">
        <f aca="false">E2+C3-D3</f>
        <v>32333.37</v>
      </c>
      <c r="F3" s="3" t="s">
        <v>41</v>
      </c>
    </row>
    <row r="4" customFormat="false" ht="38" hidden="false" customHeight="true" outlineLevel="0" collapsed="false">
      <c r="A4" s="5" t="n">
        <v>46022</v>
      </c>
      <c r="B4" s="3" t="s">
        <v>42</v>
      </c>
      <c r="C4" s="4" t="n">
        <v>2346.63</v>
      </c>
      <c r="D4" s="4" t="n">
        <v>0</v>
      </c>
      <c r="E4" s="4" t="n">
        <f aca="false">E3+C4-D4</f>
        <v>34680</v>
      </c>
      <c r="F4" s="3" t="s">
        <v>41</v>
      </c>
    </row>
    <row r="5" customFormat="false" ht="38" hidden="false" customHeight="true" outlineLevel="0" collapsed="false">
      <c r="A5" s="5" t="n">
        <v>46022</v>
      </c>
      <c r="B5" s="3" t="s">
        <v>43</v>
      </c>
      <c r="C5" s="4" t="n">
        <v>0</v>
      </c>
      <c r="D5" s="4" t="n">
        <v>24360</v>
      </c>
      <c r="E5" s="4" t="n">
        <f aca="false">E4+C5-D5</f>
        <v>10320</v>
      </c>
      <c r="F5" s="3" t="s">
        <v>44</v>
      </c>
    </row>
    <row r="6" customFormat="false" ht="24" hidden="false" customHeight="true" outlineLevel="0" collapsed="false">
      <c r="A6" s="5" t="n">
        <v>46022</v>
      </c>
      <c r="B6" s="3" t="s">
        <v>45</v>
      </c>
      <c r="C6" s="4" t="n">
        <v>0</v>
      </c>
      <c r="D6" s="4" t="n">
        <v>7920</v>
      </c>
      <c r="E6" s="4" t="n">
        <f aca="false">E5+C6-D6</f>
        <v>2400</v>
      </c>
      <c r="F6" s="3" t="s">
        <v>46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7"/>
    <col collapsed="false" customWidth="true" hidden="false" outlineLevel="0" max="4" min="3" style="1" width="19"/>
    <col collapsed="false" customWidth="true" hidden="false" outlineLevel="0" max="5" min="5" style="1" width="20"/>
  </cols>
  <sheetData>
    <row r="1" customFormat="false" ht="36" hidden="false" customHeight="tru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</row>
    <row r="2" customFormat="false" ht="24" hidden="false" customHeight="true" outlineLevel="0" collapsed="false">
      <c r="A2" s="5" t="n">
        <v>45658</v>
      </c>
      <c r="B2" s="3" t="s">
        <v>47</v>
      </c>
      <c r="C2" s="4" t="n">
        <v>40000</v>
      </c>
      <c r="D2" s="4" t="n">
        <v>0</v>
      </c>
      <c r="E2" s="4" t="n">
        <f aca="false">C2-D2</f>
        <v>40000</v>
      </c>
    </row>
    <row r="3" customFormat="false" ht="24" hidden="false" customHeight="true" outlineLevel="0" collapsed="false">
      <c r="A3" s="5" t="n">
        <v>46022</v>
      </c>
      <c r="B3" s="3" t="s">
        <v>48</v>
      </c>
      <c r="C3" s="4" t="n">
        <v>7920</v>
      </c>
      <c r="D3" s="4" t="n">
        <v>0</v>
      </c>
      <c r="E3" s="4" t="n">
        <f aca="false">E2+C3-D3</f>
        <v>47920</v>
      </c>
    </row>
    <row r="4" customFormat="false" ht="24" hidden="false" customHeight="true" outlineLevel="0" collapsed="false">
      <c r="A4" s="5" t="n">
        <v>46022</v>
      </c>
      <c r="B4" s="3" t="s">
        <v>49</v>
      </c>
      <c r="C4" s="4" t="n">
        <v>80</v>
      </c>
      <c r="D4" s="4" t="n">
        <v>0</v>
      </c>
      <c r="E4" s="4" t="n">
        <f aca="false">E3+C4-D4</f>
        <v>48000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