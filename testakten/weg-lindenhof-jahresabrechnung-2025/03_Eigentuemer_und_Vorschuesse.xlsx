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igentum" sheetId="1" state="visible" r:id="rId3"/>
    <sheet name="Vorschuess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<sst xmlns="http://schemas.openxmlformats.org/spreadsheetml/2006/main" count="46" uniqueCount="30">
  <si>
    <t xml:space="preserve">Einheit</t>
  </si>
  <si>
    <t xml:space="preserve">Eigentümer</t>
  </si>
  <si>
    <t xml:space="preserve">MEA von 1000</t>
  </si>
  <si>
    <t xml:space="preserve">Wohnfläche m²</t>
  </si>
  <si>
    <t xml:space="preserve">Nutzung</t>
  </si>
  <si>
    <t xml:space="preserve">Kontokennung</t>
  </si>
  <si>
    <t xml:space="preserve">Edeltraud Tüddel</t>
  </si>
  <si>
    <t xml:space="preserve">Selbstnutzung</t>
  </si>
  <si>
    <t xml:space="preserve">WE01</t>
  </si>
  <si>
    <t xml:space="preserve">Kian Yilmaz</t>
  </si>
  <si>
    <t xml:space="preserve">Vermietet</t>
  </si>
  <si>
    <t xml:space="preserve">WE02</t>
  </si>
  <si>
    <t xml:space="preserve">Kunigunde Wackernagel</t>
  </si>
  <si>
    <t xml:space="preserve">WE03</t>
  </si>
  <si>
    <t xml:space="preserve">Mirela Popescu</t>
  </si>
  <si>
    <t xml:space="preserve">WE04</t>
  </si>
  <si>
    <t xml:space="preserve">Alwin Pfitzner</t>
  </si>
  <si>
    <t xml:space="preserve">WE05</t>
  </si>
  <si>
    <t xml:space="preserve">Asha Krüger</t>
  </si>
  <si>
    <t xml:space="preserve">WE06</t>
  </si>
  <si>
    <t xml:space="preserve">Bodo Zuckermann</t>
  </si>
  <si>
    <t xml:space="preserve">WE07</t>
  </si>
  <si>
    <t xml:space="preserve">Noa Winter</t>
  </si>
  <si>
    <t xml:space="preserve">WE08</t>
  </si>
  <si>
    <t xml:space="preserve">Kosten monatlich EUR</t>
  </si>
  <si>
    <t xml:space="preserve">Rücklage monatlich EUR</t>
  </si>
  <si>
    <t xml:space="preserve">Soll Jahr EUR</t>
  </si>
  <si>
    <t xml:space="preserve">Ist Jahr EUR</t>
  </si>
  <si>
    <t xml:space="preserve">Offen EUR</t>
  </si>
  <si>
    <t xml:space="preserve">Summe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</si>
</sst>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6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63641"/>
        <bgColor rgb="FF17263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630"/>
      <rgbColor rgb="FF333300"/>
      <rgbColor rgb="FF993300"/>
      <rgbColor rgb="FF993366"/>
      <rgbColor rgb="FF333399"/>
      <rgbColor rgb="FF26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4" min="3" style="1" width="17"/>
    <col collapsed="false" customWidth="true" hidden="false" outlineLevel="0" max="5" min="5" style="1" width="22"/>
    <col collapsed="false" customWidth="true" hidden="false" outlineLevel="0" max="6" min="6" style="1" width="18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4" hidden="false" customHeight="true" outlineLevel="0" collapsed="false">
      <c r="A2" s="3" t="n">
        <v>1</v>
      </c>
      <c r="B2" s="4" t="s">
        <v>6</v>
      </c>
      <c r="C2" s="3" t="n">
        <v>100</v>
      </c>
      <c r="D2" s="5" t="n">
        <v>80</v>
      </c>
      <c r="E2" s="4" t="s">
        <v>7</v>
      </c>
      <c r="F2" s="4" t="s">
        <v>8</v>
      </c>
    </row>
    <row r="3" customFormat="false" ht="24" hidden="false" customHeight="true" outlineLevel="0" collapsed="false">
      <c r="A3" s="3" t="n">
        <v>2</v>
      </c>
      <c r="B3" s="4" t="s">
        <v>9</v>
      </c>
      <c r="C3" s="3" t="n">
        <v>110</v>
      </c>
      <c r="D3" s="5" t="n">
        <v>88</v>
      </c>
      <c r="E3" s="4" t="s">
        <v>10</v>
      </c>
      <c r="F3" s="4" t="s">
        <v>11</v>
      </c>
    </row>
    <row r="4" customFormat="false" ht="24" hidden="false" customHeight="true" outlineLevel="0" collapsed="false">
      <c r="A4" s="3" t="n">
        <v>3</v>
      </c>
      <c r="B4" s="4" t="s">
        <v>12</v>
      </c>
      <c r="C4" s="3" t="n">
        <v>120</v>
      </c>
      <c r="D4" s="5" t="n">
        <v>96</v>
      </c>
      <c r="E4" s="4" t="s">
        <v>7</v>
      </c>
      <c r="F4" s="4" t="s">
        <v>13</v>
      </c>
    </row>
    <row r="5" customFormat="false" ht="24" hidden="false" customHeight="true" outlineLevel="0" collapsed="false">
      <c r="A5" s="3" t="n">
        <v>4</v>
      </c>
      <c r="B5" s="4" t="s">
        <v>14</v>
      </c>
      <c r="C5" s="3" t="n">
        <v>120</v>
      </c>
      <c r="D5" s="5" t="n">
        <v>96</v>
      </c>
      <c r="E5" s="4" t="s">
        <v>10</v>
      </c>
      <c r="F5" s="4" t="s">
        <v>15</v>
      </c>
    </row>
    <row r="6" customFormat="false" ht="24" hidden="false" customHeight="true" outlineLevel="0" collapsed="false">
      <c r="A6" s="3" t="n">
        <v>5</v>
      </c>
      <c r="B6" s="4" t="s">
        <v>16</v>
      </c>
      <c r="C6" s="3" t="n">
        <v>130</v>
      </c>
      <c r="D6" s="5" t="n">
        <v>104</v>
      </c>
      <c r="E6" s="4" t="s">
        <v>7</v>
      </c>
      <c r="F6" s="4" t="s">
        <v>17</v>
      </c>
    </row>
    <row r="7" customFormat="false" ht="24" hidden="false" customHeight="true" outlineLevel="0" collapsed="false">
      <c r="A7" s="3" t="n">
        <v>6</v>
      </c>
      <c r="B7" s="4" t="s">
        <v>18</v>
      </c>
      <c r="C7" s="3" t="n">
        <v>130</v>
      </c>
      <c r="D7" s="5" t="n">
        <v>104</v>
      </c>
      <c r="E7" s="4" t="s">
        <v>10</v>
      </c>
      <c r="F7" s="4" t="s">
        <v>19</v>
      </c>
    </row>
    <row r="8" customFormat="false" ht="24" hidden="false" customHeight="true" outlineLevel="0" collapsed="false">
      <c r="A8" s="3" t="n">
        <v>7</v>
      </c>
      <c r="B8" s="4" t="s">
        <v>20</v>
      </c>
      <c r="C8" s="3" t="n">
        <v>140</v>
      </c>
      <c r="D8" s="5" t="n">
        <v>112</v>
      </c>
      <c r="E8" s="4" t="s">
        <v>7</v>
      </c>
      <c r="F8" s="4" t="s">
        <v>21</v>
      </c>
    </row>
    <row r="9" customFormat="false" ht="24" hidden="false" customHeight="true" outlineLevel="0" collapsed="false">
      <c r="A9" s="3" t="n">
        <v>8</v>
      </c>
      <c r="B9" s="4" t="s">
        <v>22</v>
      </c>
      <c r="C9" s="3" t="n">
        <v>150</v>
      </c>
      <c r="D9" s="5" t="n">
        <v>120</v>
      </c>
      <c r="E9" s="4" t="s">
        <v>10</v>
      </c>
      <c r="F9" s="4" t="s">
        <v>23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7.88"/>
    <col collapsed="false" customWidth="true" hidden="false" outlineLevel="0" max="6" min="3" style="1" width="17.38"/>
    <col collapsed="false" customWidth="true" hidden="false" outlineLevel="0" max="7" min="7" style="1" width="15.63"/>
  </cols>
  <sheetData>
    <row r="1" customFormat="false" ht="38" hidden="false" customHeight="true" outlineLevel="0" collapsed="false">
      <c r="A1" s="2" t="s">
        <v>0</v>
      </c>
      <c r="B1" s="2" t="s">
        <v>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customFormat="false" ht="24" hidden="false" customHeight="true" outlineLevel="0" collapsed="false">
      <c r="A2" s="4" t="n">
        <v>1</v>
      </c>
      <c r="B2" s="4" t="s">
        <v>6</v>
      </c>
      <c r="C2" s="6" t="n">
        <v>200</v>
      </c>
      <c r="D2" s="6" t="n">
        <v>66.67</v>
      </c>
      <c r="E2" s="6" t="n">
        <f aca="false">Eigentum!C2*32</f>
        <v>3200</v>
      </c>
      <c r="F2" s="6" t="n">
        <v>3200</v>
      </c>
      <c r="G2" s="6" t="n">
        <f aca="false">E2-F2</f>
        <v>0</v>
      </c>
    </row>
    <row r="3" customFormat="false" ht="24" hidden="false" customHeight="true" outlineLevel="0" collapsed="false">
      <c r="A3" s="4" t="n">
        <v>2</v>
      </c>
      <c r="B3" s="4" t="s">
        <v>9</v>
      </c>
      <c r="C3" s="6" t="n">
        <v>220</v>
      </c>
      <c r="D3" s="6" t="n">
        <v>73.33</v>
      </c>
      <c r="E3" s="6" t="n">
        <f aca="false">Eigentum!C3*32</f>
        <v>3520</v>
      </c>
      <c r="F3" s="6" t="n">
        <v>3520</v>
      </c>
      <c r="G3" s="6" t="n">
        <f aca="false">E3-F3</f>
        <v>0</v>
      </c>
    </row>
    <row r="4" customFormat="false" ht="24" hidden="false" customHeight="true" outlineLevel="0" collapsed="false">
      <c r="A4" s="4" t="n">
        <v>3</v>
      </c>
      <c r="B4" s="4" t="s">
        <v>12</v>
      </c>
      <c r="C4" s="6" t="n">
        <v>240</v>
      </c>
      <c r="D4" s="6" t="n">
        <v>80</v>
      </c>
      <c r="E4" s="6" t="n">
        <f aca="false">Eigentum!C4*32</f>
        <v>3840</v>
      </c>
      <c r="F4" s="6" t="n">
        <v>3840</v>
      </c>
      <c r="G4" s="6" t="n">
        <f aca="false">E4-F4</f>
        <v>0</v>
      </c>
    </row>
    <row r="5" customFormat="false" ht="24" hidden="false" customHeight="true" outlineLevel="0" collapsed="false">
      <c r="A5" s="4" t="n">
        <v>4</v>
      </c>
      <c r="B5" s="4" t="s">
        <v>14</v>
      </c>
      <c r="C5" s="6" t="n">
        <v>240</v>
      </c>
      <c r="D5" s="6" t="n">
        <v>80</v>
      </c>
      <c r="E5" s="6" t="n">
        <f aca="false">Eigentum!C5*32</f>
        <v>3840</v>
      </c>
      <c r="F5" s="6" t="n">
        <v>3520</v>
      </c>
      <c r="G5" s="6" t="n">
        <f aca="false">E5-F5</f>
        <v>320</v>
      </c>
    </row>
    <row r="6" customFormat="false" ht="24" hidden="false" customHeight="true" outlineLevel="0" collapsed="false">
      <c r="A6" s="4" t="n">
        <v>5</v>
      </c>
      <c r="B6" s="4" t="s">
        <v>16</v>
      </c>
      <c r="C6" s="6" t="n">
        <v>260</v>
      </c>
      <c r="D6" s="6" t="n">
        <v>86.67</v>
      </c>
      <c r="E6" s="6" t="n">
        <f aca="false">Eigentum!C6*32</f>
        <v>4160</v>
      </c>
      <c r="F6" s="6" t="n">
        <v>4160</v>
      </c>
      <c r="G6" s="6" t="n">
        <f aca="false">E6-F6</f>
        <v>0</v>
      </c>
    </row>
    <row r="7" customFormat="false" ht="24" hidden="false" customHeight="true" outlineLevel="0" collapsed="false">
      <c r="A7" s="4" t="n">
        <v>6</v>
      </c>
      <c r="B7" s="4" t="s">
        <v>18</v>
      </c>
      <c r="C7" s="6" t="n">
        <v>260</v>
      </c>
      <c r="D7" s="6" t="n">
        <v>86.67</v>
      </c>
      <c r="E7" s="6" t="n">
        <f aca="false">Eigentum!C7*32</f>
        <v>4160</v>
      </c>
      <c r="F7" s="6" t="n">
        <v>4160</v>
      </c>
      <c r="G7" s="6" t="n">
        <f aca="false">E7-F7</f>
        <v>0</v>
      </c>
    </row>
    <row r="8" customFormat="false" ht="24" hidden="false" customHeight="true" outlineLevel="0" collapsed="false">
      <c r="A8" s="4" t="n">
        <v>7</v>
      </c>
      <c r="B8" s="4" t="s">
        <v>20</v>
      </c>
      <c r="C8" s="6" t="n">
        <v>280</v>
      </c>
      <c r="D8" s="6" t="n">
        <v>93.33</v>
      </c>
      <c r="E8" s="6" t="n">
        <f aca="false">Eigentum!C8*32</f>
        <v>4480</v>
      </c>
      <c r="F8" s="6" t="n">
        <v>4480</v>
      </c>
      <c r="G8" s="6" t="n">
        <f aca="false">E8-F8</f>
        <v>0</v>
      </c>
    </row>
    <row r="9" customFormat="false" ht="24" hidden="false" customHeight="true" outlineLevel="0" collapsed="false">
      <c r="A9" s="4" t="n">
        <v>8</v>
      </c>
      <c r="B9" s="4" t="s">
        <v>22</v>
      </c>
      <c r="C9" s="6" t="n">
        <v>300</v>
      </c>
      <c r="D9" s="6" t="n">
        <v>100</v>
      </c>
      <c r="E9" s="6" t="n">
        <f aca="false">Eigentum!C9*32</f>
        <v>4800</v>
      </c>
      <c r="F9" s="6" t="n">
        <v>4800</v>
      </c>
      <c r="G9" s="6" t="n">
        <f aca="false">E9-F9</f>
        <v>0</v>
      </c>
    </row>
    <row r="10" customFormat="false" ht="24" hidden="false" customHeight="true" outlineLevel="0" collapsed="false">
      <c r="A10" s="4" t="s">
        <v>29</v>
      </c>
      <c r="B10" s="4"/>
      <c r="C10" s="6" t="n">
        <f aca="false">SUM(C2:C9)</f>
        <v>2000</v>
      </c>
      <c r="D10" s="6" t="n">
        <f aca="false">SUM(D2:D9)</f>
        <v>666.67</v>
      </c>
      <c r="E10" s="6" t="n">
        <f aca="false">SUM(E2:E9)</f>
        <v>32000</v>
      </c>
      <c r="F10" s="6" t="n">
        <f aca="false">SUM(F2:F9)</f>
        <v>31680</v>
      </c>
      <c r="G10" s="6" t="n">
        <f aca="false">SUM(G2:G9)</f>
        <v>320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